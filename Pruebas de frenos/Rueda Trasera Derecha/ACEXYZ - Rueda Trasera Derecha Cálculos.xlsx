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ACEXYZ - Rueda Trasera Derecha" sheetId="1" r:id="rId1"/>
  </sheets>
  <calcPr calcId="145621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2" i="1"/>
  <c r="N1" i="1"/>
  <c r="M1" i="1"/>
  <c r="L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" i="1"/>
  <c r="I16" i="1"/>
</calcChain>
</file>

<file path=xl/sharedStrings.xml><?xml version="1.0" encoding="utf-8"?>
<sst xmlns="http://schemas.openxmlformats.org/spreadsheetml/2006/main" count="126" uniqueCount="126">
  <si>
    <t>TIEMPO,ACEX,ACEY,ACEZ</t>
  </si>
  <si>
    <t>0 , -725 , -2469 , -227</t>
  </si>
  <si>
    <t>1 , -1742 , -2614 , -517</t>
  </si>
  <si>
    <t>2 , -1887 , -1452 , -663</t>
  </si>
  <si>
    <t>3 , -1597 , -871 , 209</t>
  </si>
  <si>
    <t>4 , -580 , -871 , 64</t>
  </si>
  <si>
    <t>5 , -1306 , -1016 , -82</t>
  </si>
  <si>
    <t>6 , 581 , -1743 , 1371</t>
  </si>
  <si>
    <t>7 , -1016 , 145 , -1098</t>
  </si>
  <si>
    <t>8 , -2759 , 2033 , -372</t>
  </si>
  <si>
    <t>9 , -3340 , -2614 , 645</t>
  </si>
  <si>
    <t>10 , -1742 , 2759 , 64</t>
  </si>
  <si>
    <t>11 , -1161 , -1452 , -227</t>
  </si>
  <si>
    <t>12 , 1598 , -2178 , 1080</t>
  </si>
  <si>
    <t>13 , -2033 , -726 , -227</t>
  </si>
  <si>
    <t>14 , 145 , 726 , -82</t>
  </si>
  <si>
    <t>15 , 2033 , -1162 , -517</t>
  </si>
  <si>
    <t>16 , 1307 , 290 , 1226</t>
  </si>
  <si>
    <t>17 , -2614 , 1888 , -3132</t>
  </si>
  <si>
    <t>18 , -435 , -3485 , -1534</t>
  </si>
  <si>
    <t>19 , 1888 , -1307 , -663</t>
  </si>
  <si>
    <t>20 , -2178 , 1016 , -1970</t>
  </si>
  <si>
    <t>21 , -1597 , -435 , 354</t>
  </si>
  <si>
    <t>22 , -2759 , 1742 , -1389</t>
  </si>
  <si>
    <t>23 , -4066 , -1743 , 499</t>
  </si>
  <si>
    <t>24 , -725 , 435 , 64</t>
  </si>
  <si>
    <t>25 , -1887 , -1162 , -663</t>
  </si>
  <si>
    <t>26 , -2323 , -1597 , -808</t>
  </si>
  <si>
    <t>27 , -2033 , -1016 , -1244</t>
  </si>
  <si>
    <t>28 , -1742 , -1016 , -663</t>
  </si>
  <si>
    <t>29 , -1887 , -871 , -953</t>
  </si>
  <si>
    <t>30 , -1742 , -726 , -517</t>
  </si>
  <si>
    <t>31 , -2033 , -2178 , -663</t>
  </si>
  <si>
    <t>32 , 0 , 290 , 790</t>
  </si>
  <si>
    <t>33 , -435 , -1597 , 790</t>
  </si>
  <si>
    <t>34 , -2178 , -1597 , -2115</t>
  </si>
  <si>
    <t>35 , 1598 , 435 , -953</t>
  </si>
  <si>
    <t>36 , -4647 , -1016 , 1516</t>
  </si>
  <si>
    <t>37 , -1016 , 2614 , -953</t>
  </si>
  <si>
    <t>38 , 3341 , -2178 , 790</t>
  </si>
  <si>
    <t>39 , -3340 , -435 , -2260</t>
  </si>
  <si>
    <t>40 , 1743 , -3631 , 3259</t>
  </si>
  <si>
    <t>41 , 290 , 3195 , -227</t>
  </si>
  <si>
    <t>42 , 1888 , -581 , -1679</t>
  </si>
  <si>
    <t>43 , 1743 , -1016 , -1098</t>
  </si>
  <si>
    <t>44 , 3050 , -3631 , 1952</t>
  </si>
  <si>
    <t>45 , 2324 , -3776 , -3858</t>
  </si>
  <si>
    <t>46 , 4648 , 871 , 4131</t>
  </si>
  <si>
    <t>47 , 1307 , 580 , -808</t>
  </si>
  <si>
    <t>48 , 145 , -1743 , 1226</t>
  </si>
  <si>
    <t>49 , 1452 , -726 , -1679</t>
  </si>
  <si>
    <t>50 , 2324 , -1162 , 1226</t>
  </si>
  <si>
    <t>51 , 2324 , -581 , -227</t>
  </si>
  <si>
    <t>52 , 3341 , -581 , -1825</t>
  </si>
  <si>
    <t>53 , 1307 , -1162 , 1952</t>
  </si>
  <si>
    <t>54 , 2179 , -3195 , -1825</t>
  </si>
  <si>
    <t>55 , 4648 , -435 , 2533</t>
  </si>
  <si>
    <t>56 , 1743 , 145 , -517</t>
  </si>
  <si>
    <t>57 , 5955 , -1162 , 1807</t>
  </si>
  <si>
    <t>58 , 3195 , -290 , 209</t>
  </si>
  <si>
    <t>59 , 2469 , 580 , 935</t>
  </si>
  <si>
    <t>60 , 1743 , -3340 , -1679</t>
  </si>
  <si>
    <t>61 , 4067 , -290 , -82</t>
  </si>
  <si>
    <t>62 , 2469 , -3195 , 1661</t>
  </si>
  <si>
    <t>63 , 2469 , 580 , 1371</t>
  </si>
  <si>
    <t>64 , 4938 , 435 , 499</t>
  </si>
  <si>
    <t>65 , 1452 , -3631 , 1661</t>
  </si>
  <si>
    <t>66 , 3486 , 2033 , -4439</t>
  </si>
  <si>
    <t>67 , 7262 , -3921 , 2969</t>
  </si>
  <si>
    <t>68 , 4502 , -145 , 4566</t>
  </si>
  <si>
    <t>69 , 6826 , -1743 , 5438</t>
  </si>
  <si>
    <t>70 , 4067 , -4938 , -1534</t>
  </si>
  <si>
    <t>71 , 1162 , 1742 , -1534</t>
  </si>
  <si>
    <t>72 , 1017 , 145 , 2388</t>
  </si>
  <si>
    <t>73 , 3486 , -1307 , 3985</t>
  </si>
  <si>
    <t>74 , -1306 , -581 , 935</t>
  </si>
  <si>
    <t>75 , -1452 , 1452 , -517</t>
  </si>
  <si>
    <t>76 , 145 , 435 , -227</t>
  </si>
  <si>
    <t>77 , -2178 , 580 , -372</t>
  </si>
  <si>
    <t>78 , -1597 , -726 , -517</t>
  </si>
  <si>
    <t>79 , -725 , 290 , -372</t>
  </si>
  <si>
    <t>80 , 1017 , 2759 , -372</t>
  </si>
  <si>
    <t>81 , -4792 , -2033 , -82</t>
  </si>
  <si>
    <t>82 , -144 , -2759 , -517</t>
  </si>
  <si>
    <t>83 , -3049 , 2469 , -808</t>
  </si>
  <si>
    <t>84 , -2904 , -4793 , 499</t>
  </si>
  <si>
    <t>85 , 581 , 871 , -227</t>
  </si>
  <si>
    <t>86 , -2323 , -2033 , 64</t>
  </si>
  <si>
    <t>87 , -435 , 2033 , 645</t>
  </si>
  <si>
    <t>88 , -2614 , 0 , 354</t>
  </si>
  <si>
    <t>89 , -1887 , -3340 , 209</t>
  </si>
  <si>
    <t>90 , 1307 , 2759 , 209</t>
  </si>
  <si>
    <t>91 , -3340 , 1307 , 1080</t>
  </si>
  <si>
    <t>92 , 726 , 1452 , 790</t>
  </si>
  <si>
    <t>93 , -1306 , 1452 , -953</t>
  </si>
  <si>
    <t>94 , -1452 , 1597 , -953</t>
  </si>
  <si>
    <t>95 , -3630 , -2033 , 64</t>
  </si>
  <si>
    <t>96 , -2468 , -4793 , 1952</t>
  </si>
  <si>
    <t>97 , 290 , -2033 , -372</t>
  </si>
  <si>
    <t>98 , 145 , 1452 , 354</t>
  </si>
  <si>
    <t>99 , 1452 , 5519 , 499</t>
  </si>
  <si>
    <t>100 , -1742 , 2033 , 64</t>
  </si>
  <si>
    <t>101 , -2759 , 1307 , 499</t>
  </si>
  <si>
    <t>102 , -2759 , 1307 , -663</t>
  </si>
  <si>
    <t>103 , -2178 , 1597 , -372</t>
  </si>
  <si>
    <t>104 , -144 , 871 , -808</t>
  </si>
  <si>
    <t>105 , 1452 , 1597 , -82</t>
  </si>
  <si>
    <t>106 , 1598 , 2614 , 499</t>
  </si>
  <si>
    <t>107 , 726 , 1452 , -227</t>
  </si>
  <si>
    <t>108 , 1017 , 1888 , -372</t>
  </si>
  <si>
    <t>109 , 871 , 1742 , -372</t>
  </si>
  <si>
    <t>110 , -435 , 726 , 499</t>
  </si>
  <si>
    <t>111 , -1597 , 1016 , 209</t>
  </si>
  <si>
    <t>112 , -3195 , -3631 , -82</t>
  </si>
  <si>
    <t>113 , -2614 , -3485 , 64</t>
  </si>
  <si>
    <t>TIEMPO</t>
  </si>
  <si>
    <t>ACEX</t>
  </si>
  <si>
    <t>ACEY</t>
  </si>
  <si>
    <t>ACEZ</t>
  </si>
  <si>
    <t>Ctte (Suma X/2)</t>
  </si>
  <si>
    <t>Valor Nivelador X</t>
  </si>
  <si>
    <t>Ctte (Suma Y/2)</t>
  </si>
  <si>
    <t>Valor Nivelador Y</t>
  </si>
  <si>
    <t>Ctte (Suma Z/2)</t>
  </si>
  <si>
    <t>Valor Nivelador Z</t>
  </si>
  <si>
    <t>TIEMPO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</si>
</sst>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49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5"/>
  <sheetViews>
    <sheetView tabSelected="1" topLeftCell="A92" workbookViewId="0">
      <selection activeCell="L2" sqref="L2:N115"/>
    </sheetView>
  </sheetViews>
  <sheetFormatPr baseColWidth="10" defaultRowHeight="15" x14ac:dyDescent="0.25"/>
  <cols>
    <col min="1" max="1" width="22.7109375" customWidth="1"/>
  </cols>
  <sheetData>
    <row r="1" spans="1:15" x14ac:dyDescent="0.25">
      <c r="A1" t="s">
        <v>0</v>
      </c>
      <c r="C1" t="s">
        <v>115</v>
      </c>
      <c r="D1" t="s">
        <v>116</v>
      </c>
      <c r="E1" t="s">
        <v>117</v>
      </c>
      <c r="F1" t="s">
        <v>118</v>
      </c>
      <c r="K1" t="str">
        <f>C1</f>
        <v>TIEMPO</v>
      </c>
      <c r="L1" t="str">
        <f>D1</f>
        <v>ACEX</v>
      </c>
      <c r="M1" t="str">
        <f>E1</f>
        <v>ACEY</v>
      </c>
      <c r="N1" t="str">
        <f>F1</f>
        <v>ACEZ</v>
      </c>
      <c r="O1" t="s">
        <v>125</v>
      </c>
    </row>
    <row r="2" spans="1:15" x14ac:dyDescent="0.25">
      <c r="A2" t="s">
        <v>1</v>
      </c>
      <c r="C2">
        <v>0</v>
      </c>
      <c r="D2">
        <v>-725</v>
      </c>
      <c r="E2">
        <v>-2469</v>
      </c>
      <c r="F2">
        <v>-227</v>
      </c>
      <c r="I2" s="1" t="s">
        <v>119</v>
      </c>
      <c r="K2">
        <f t="shared" ref="K2:K65" si="0">C2</f>
        <v>0</v>
      </c>
      <c r="L2" s="3">
        <f>(D2+I$6)*I$3</f>
        <v>5.5492290000000004</v>
      </c>
      <c r="M2" s="3">
        <f>(E2+I$12)*I$9</f>
        <v>-13.076425649999999</v>
      </c>
      <c r="N2" s="3">
        <f>(F2+I$19)*I$16</f>
        <v>0</v>
      </c>
      <c r="O2">
        <f>K2*0.5</f>
        <v>0</v>
      </c>
    </row>
    <row r="3" spans="1:15" x14ac:dyDescent="0.25">
      <c r="A3" t="s">
        <v>2</v>
      </c>
      <c r="C3">
        <v>1</v>
      </c>
      <c r="D3">
        <v>-1742</v>
      </c>
      <c r="E3">
        <v>-2614</v>
      </c>
      <c r="F3">
        <v>-517</v>
      </c>
      <c r="I3" s="1">
        <v>5.8722000000000002E-3</v>
      </c>
      <c r="K3">
        <f t="shared" si="0"/>
        <v>1</v>
      </c>
      <c r="L3" s="3">
        <f t="shared" ref="L3:L66" si="1">(D3+I$6)*I$3</f>
        <v>-0.42279840000000002</v>
      </c>
      <c r="M3" s="3">
        <f t="shared" ref="M3:M66" si="2">(E3+I$12)*I$9</f>
        <v>-13.89247115</v>
      </c>
      <c r="N3" s="3">
        <f t="shared" ref="N3:N66" si="3">(F3+I$19)*I$16</f>
        <v>-1.7796720000000001</v>
      </c>
      <c r="O3">
        <f t="shared" ref="O3:O66" si="4">K3*0.5</f>
        <v>0.5</v>
      </c>
    </row>
    <row r="4" spans="1:15" x14ac:dyDescent="0.25">
      <c r="A4" t="s">
        <v>3</v>
      </c>
      <c r="C4">
        <v>2</v>
      </c>
      <c r="D4">
        <v>-1887</v>
      </c>
      <c r="E4">
        <v>-1452</v>
      </c>
      <c r="F4">
        <v>-663</v>
      </c>
      <c r="I4" s="1"/>
      <c r="K4">
        <f t="shared" si="0"/>
        <v>2</v>
      </c>
      <c r="L4" s="3">
        <f t="shared" si="1"/>
        <v>-1.2742674000000001</v>
      </c>
      <c r="M4" s="3">
        <f t="shared" si="2"/>
        <v>-7.3528513499999999</v>
      </c>
      <c r="N4" s="3">
        <f t="shared" si="3"/>
        <v>-2.6756448000000002</v>
      </c>
      <c r="O4">
        <f t="shared" si="4"/>
        <v>1</v>
      </c>
    </row>
    <row r="5" spans="1:15" x14ac:dyDescent="0.25">
      <c r="A5" t="s">
        <v>4</v>
      </c>
      <c r="C5">
        <v>3</v>
      </c>
      <c r="D5">
        <v>-1597</v>
      </c>
      <c r="E5">
        <v>-871</v>
      </c>
      <c r="F5">
        <v>209</v>
      </c>
      <c r="I5" s="1" t="s">
        <v>120</v>
      </c>
      <c r="K5">
        <f t="shared" si="0"/>
        <v>3</v>
      </c>
      <c r="L5" s="3">
        <f t="shared" si="1"/>
        <v>0.42867060000000001</v>
      </c>
      <c r="M5" s="3">
        <f t="shared" si="2"/>
        <v>-4.0830414499999996</v>
      </c>
      <c r="N5" s="3">
        <f t="shared" si="3"/>
        <v>2.6756448000000002</v>
      </c>
      <c r="O5">
        <f t="shared" si="4"/>
        <v>1.5</v>
      </c>
    </row>
    <row r="6" spans="1:15" x14ac:dyDescent="0.25">
      <c r="A6" t="s">
        <v>5</v>
      </c>
      <c r="C6">
        <v>4</v>
      </c>
      <c r="D6">
        <v>-580</v>
      </c>
      <c r="E6">
        <v>-871</v>
      </c>
      <c r="F6">
        <v>64</v>
      </c>
      <c r="I6" s="1">
        <v>1670</v>
      </c>
      <c r="K6">
        <f t="shared" si="0"/>
        <v>4</v>
      </c>
      <c r="L6" s="3">
        <f t="shared" si="1"/>
        <v>6.4006980000000002</v>
      </c>
      <c r="M6" s="3">
        <f t="shared" si="2"/>
        <v>-4.0830414499999996</v>
      </c>
      <c r="N6" s="3">
        <f t="shared" si="3"/>
        <v>1.7858088000000001</v>
      </c>
      <c r="O6">
        <f t="shared" si="4"/>
        <v>2</v>
      </c>
    </row>
    <row r="7" spans="1:15" x14ac:dyDescent="0.25">
      <c r="A7" t="s">
        <v>6</v>
      </c>
      <c r="C7">
        <v>5</v>
      </c>
      <c r="D7">
        <v>-1306</v>
      </c>
      <c r="E7">
        <v>-1016</v>
      </c>
      <c r="F7">
        <v>-82</v>
      </c>
      <c r="I7" s="2"/>
      <c r="K7">
        <f t="shared" si="0"/>
        <v>5</v>
      </c>
      <c r="L7" s="3">
        <f t="shared" si="1"/>
        <v>2.1374808000000001</v>
      </c>
      <c r="M7" s="3">
        <f t="shared" si="2"/>
        <v>-4.8990869500000001</v>
      </c>
      <c r="N7" s="3">
        <f t="shared" si="3"/>
        <v>0.88983600000000007</v>
      </c>
      <c r="O7">
        <f t="shared" si="4"/>
        <v>2.5</v>
      </c>
    </row>
    <row r="8" spans="1:15" x14ac:dyDescent="0.25">
      <c r="A8" t="s">
        <v>7</v>
      </c>
      <c r="C8">
        <v>6</v>
      </c>
      <c r="D8">
        <v>581</v>
      </c>
      <c r="E8">
        <v>-1743</v>
      </c>
      <c r="F8">
        <v>1371</v>
      </c>
      <c r="I8" s="1" t="s">
        <v>121</v>
      </c>
      <c r="K8">
        <f t="shared" si="0"/>
        <v>6</v>
      </c>
      <c r="L8" s="3">
        <f t="shared" si="1"/>
        <v>13.218322200000001</v>
      </c>
      <c r="M8" s="3">
        <f t="shared" si="2"/>
        <v>-8.9905702499999993</v>
      </c>
      <c r="N8" s="3">
        <f t="shared" si="3"/>
        <v>9.8066064000000015</v>
      </c>
      <c r="O8">
        <f t="shared" si="4"/>
        <v>3</v>
      </c>
    </row>
    <row r="9" spans="1:15" x14ac:dyDescent="0.25">
      <c r="A9" t="s">
        <v>8</v>
      </c>
      <c r="C9">
        <v>7</v>
      </c>
      <c r="D9">
        <v>-1016</v>
      </c>
      <c r="E9">
        <v>145</v>
      </c>
      <c r="F9">
        <v>-1098</v>
      </c>
      <c r="I9" s="1">
        <v>5.6278999999999999E-3</v>
      </c>
      <c r="K9">
        <f t="shared" si="0"/>
        <v>7</v>
      </c>
      <c r="L9" s="3">
        <f t="shared" si="1"/>
        <v>3.8404188000000001</v>
      </c>
      <c r="M9" s="3">
        <f t="shared" si="2"/>
        <v>1.6349049499999999</v>
      </c>
      <c r="N9" s="3">
        <f t="shared" si="3"/>
        <v>-5.3451528000000001</v>
      </c>
      <c r="O9">
        <f t="shared" si="4"/>
        <v>3.5</v>
      </c>
    </row>
    <row r="10" spans="1:15" x14ac:dyDescent="0.25">
      <c r="A10" t="s">
        <v>9</v>
      </c>
      <c r="C10">
        <v>8</v>
      </c>
      <c r="D10">
        <v>-2759</v>
      </c>
      <c r="E10">
        <v>2033</v>
      </c>
      <c r="F10">
        <v>-372</v>
      </c>
      <c r="I10" s="1"/>
      <c r="K10">
        <f t="shared" si="0"/>
        <v>8</v>
      </c>
      <c r="L10" s="3">
        <f t="shared" si="1"/>
        <v>-6.3948258000000004</v>
      </c>
      <c r="M10" s="3">
        <f t="shared" si="2"/>
        <v>12.26038015</v>
      </c>
      <c r="N10" s="3">
        <f t="shared" si="3"/>
        <v>-0.88983600000000007</v>
      </c>
      <c r="O10">
        <f t="shared" si="4"/>
        <v>4</v>
      </c>
    </row>
    <row r="11" spans="1:15" x14ac:dyDescent="0.25">
      <c r="A11" t="s">
        <v>10</v>
      </c>
      <c r="C11">
        <v>9</v>
      </c>
      <c r="D11">
        <v>-3340</v>
      </c>
      <c r="E11">
        <v>-2614</v>
      </c>
      <c r="F11">
        <v>645</v>
      </c>
      <c r="I11" s="1" t="s">
        <v>122</v>
      </c>
      <c r="K11">
        <f t="shared" si="0"/>
        <v>9</v>
      </c>
      <c r="L11" s="3">
        <f t="shared" si="1"/>
        <v>-9.8065739999999995</v>
      </c>
      <c r="M11" s="3">
        <f t="shared" si="2"/>
        <v>-13.89247115</v>
      </c>
      <c r="N11" s="3">
        <f t="shared" si="3"/>
        <v>5.3512896000000003</v>
      </c>
      <c r="O11">
        <f t="shared" si="4"/>
        <v>4.5</v>
      </c>
    </row>
    <row r="12" spans="1:15" x14ac:dyDescent="0.25">
      <c r="A12" t="s">
        <v>11</v>
      </c>
      <c r="C12">
        <v>10</v>
      </c>
      <c r="D12">
        <v>-1742</v>
      </c>
      <c r="E12">
        <v>2759</v>
      </c>
      <c r="F12">
        <v>64</v>
      </c>
      <c r="I12" s="1">
        <v>145.5</v>
      </c>
      <c r="K12">
        <f t="shared" si="0"/>
        <v>10</v>
      </c>
      <c r="L12" s="3">
        <f t="shared" si="1"/>
        <v>-0.42279840000000002</v>
      </c>
      <c r="M12" s="3">
        <f t="shared" si="2"/>
        <v>16.346235549999999</v>
      </c>
      <c r="N12" s="3">
        <f t="shared" si="3"/>
        <v>1.7858088000000001</v>
      </c>
      <c r="O12">
        <f t="shared" si="4"/>
        <v>5</v>
      </c>
    </row>
    <row r="13" spans="1:15" x14ac:dyDescent="0.25">
      <c r="A13" t="s">
        <v>12</v>
      </c>
      <c r="C13">
        <v>11</v>
      </c>
      <c r="D13">
        <v>-1161</v>
      </c>
      <c r="E13">
        <v>-1452</v>
      </c>
      <c r="F13">
        <v>-227</v>
      </c>
      <c r="I13" s="2"/>
      <c r="K13">
        <f t="shared" si="0"/>
        <v>11</v>
      </c>
      <c r="L13" s="3">
        <f t="shared" si="1"/>
        <v>2.9889497999999999</v>
      </c>
      <c r="M13" s="3">
        <f t="shared" si="2"/>
        <v>-7.3528513499999999</v>
      </c>
      <c r="N13" s="3">
        <f t="shared" si="3"/>
        <v>0</v>
      </c>
      <c r="O13">
        <f t="shared" si="4"/>
        <v>5.5</v>
      </c>
    </row>
    <row r="14" spans="1:15" x14ac:dyDescent="0.25">
      <c r="A14" t="s">
        <v>13</v>
      </c>
      <c r="C14">
        <v>12</v>
      </c>
      <c r="D14">
        <v>1598</v>
      </c>
      <c r="E14">
        <v>-2178</v>
      </c>
      <c r="F14">
        <v>1080</v>
      </c>
      <c r="I14" s="2"/>
      <c r="K14">
        <f t="shared" si="0"/>
        <v>12</v>
      </c>
      <c r="L14" s="3">
        <f t="shared" si="1"/>
        <v>19.190349600000001</v>
      </c>
      <c r="M14" s="3">
        <f t="shared" si="2"/>
        <v>-11.43870675</v>
      </c>
      <c r="N14" s="3">
        <f t="shared" si="3"/>
        <v>8.0207975999999999</v>
      </c>
      <c r="O14">
        <f t="shared" si="4"/>
        <v>6</v>
      </c>
    </row>
    <row r="15" spans="1:15" x14ac:dyDescent="0.25">
      <c r="A15" t="s">
        <v>14</v>
      </c>
      <c r="C15">
        <v>13</v>
      </c>
      <c r="D15">
        <v>-2033</v>
      </c>
      <c r="E15">
        <v>-726</v>
      </c>
      <c r="F15">
        <v>-227</v>
      </c>
      <c r="I15" s="1" t="s">
        <v>123</v>
      </c>
      <c r="K15">
        <f t="shared" si="0"/>
        <v>13</v>
      </c>
      <c r="L15" s="3">
        <f t="shared" si="1"/>
        <v>-2.1316085999999999</v>
      </c>
      <c r="M15" s="3">
        <f t="shared" si="2"/>
        <v>-3.2669959500000001</v>
      </c>
      <c r="N15" s="3">
        <f t="shared" si="3"/>
        <v>0</v>
      </c>
      <c r="O15">
        <f t="shared" si="4"/>
        <v>6.5</v>
      </c>
    </row>
    <row r="16" spans="1:15" x14ac:dyDescent="0.25">
      <c r="A16" t="s">
        <v>15</v>
      </c>
      <c r="C16">
        <v>14</v>
      </c>
      <c r="D16">
        <v>145</v>
      </c>
      <c r="E16">
        <v>726</v>
      </c>
      <c r="F16">
        <v>-82</v>
      </c>
      <c r="I16" s="1">
        <f>0.0061368</f>
        <v>6.1368000000000004E-3</v>
      </c>
      <c r="K16">
        <f t="shared" si="0"/>
        <v>14</v>
      </c>
      <c r="L16" s="3">
        <f t="shared" si="1"/>
        <v>10.658043000000001</v>
      </c>
      <c r="M16" s="3">
        <f t="shared" si="2"/>
        <v>4.9047148499999995</v>
      </c>
      <c r="N16" s="3">
        <f t="shared" si="3"/>
        <v>0.88983600000000007</v>
      </c>
      <c r="O16">
        <f t="shared" si="4"/>
        <v>7</v>
      </c>
    </row>
    <row r="17" spans="1:15" x14ac:dyDescent="0.25">
      <c r="A17" t="s">
        <v>16</v>
      </c>
      <c r="C17">
        <v>15</v>
      </c>
      <c r="D17">
        <v>2033</v>
      </c>
      <c r="E17">
        <v>-1162</v>
      </c>
      <c r="F17">
        <v>-517</v>
      </c>
      <c r="I17" s="1"/>
      <c r="K17">
        <f t="shared" si="0"/>
        <v>15</v>
      </c>
      <c r="L17" s="3">
        <f t="shared" si="1"/>
        <v>21.744756600000002</v>
      </c>
      <c r="M17" s="3">
        <f t="shared" si="2"/>
        <v>-5.7207603499999999</v>
      </c>
      <c r="N17" s="3">
        <f t="shared" si="3"/>
        <v>-1.7796720000000001</v>
      </c>
      <c r="O17">
        <f t="shared" si="4"/>
        <v>7.5</v>
      </c>
    </row>
    <row r="18" spans="1:15" x14ac:dyDescent="0.25">
      <c r="A18" t="s">
        <v>17</v>
      </c>
      <c r="C18">
        <v>16</v>
      </c>
      <c r="D18">
        <v>1307</v>
      </c>
      <c r="E18">
        <v>290</v>
      </c>
      <c r="F18">
        <v>1226</v>
      </c>
      <c r="I18" s="1" t="s">
        <v>124</v>
      </c>
      <c r="K18">
        <f t="shared" si="0"/>
        <v>16</v>
      </c>
      <c r="L18" s="3">
        <f t="shared" si="1"/>
        <v>17.481539399999999</v>
      </c>
      <c r="M18" s="3">
        <f t="shared" si="2"/>
        <v>2.4509504500000001</v>
      </c>
      <c r="N18" s="3">
        <f t="shared" si="3"/>
        <v>8.9167704000000008</v>
      </c>
      <c r="O18">
        <f t="shared" si="4"/>
        <v>8</v>
      </c>
    </row>
    <row r="19" spans="1:15" x14ac:dyDescent="0.25">
      <c r="A19" t="s">
        <v>18</v>
      </c>
      <c r="C19">
        <v>17</v>
      </c>
      <c r="D19">
        <v>-2614</v>
      </c>
      <c r="E19">
        <v>1888</v>
      </c>
      <c r="F19">
        <v>-3132</v>
      </c>
      <c r="I19" s="1">
        <v>227</v>
      </c>
      <c r="K19">
        <f t="shared" si="0"/>
        <v>17</v>
      </c>
      <c r="L19" s="3">
        <f t="shared" si="1"/>
        <v>-5.5433567999999998</v>
      </c>
      <c r="M19" s="3">
        <f t="shared" si="2"/>
        <v>11.44433465</v>
      </c>
      <c r="N19" s="3">
        <f t="shared" si="3"/>
        <v>-17.827404000000001</v>
      </c>
      <c r="O19">
        <f t="shared" si="4"/>
        <v>8.5</v>
      </c>
    </row>
    <row r="20" spans="1:15" x14ac:dyDescent="0.25">
      <c r="A20" t="s">
        <v>19</v>
      </c>
      <c r="C20">
        <v>18</v>
      </c>
      <c r="D20">
        <v>-435</v>
      </c>
      <c r="E20">
        <v>-3485</v>
      </c>
      <c r="F20">
        <v>-1534</v>
      </c>
      <c r="K20">
        <f t="shared" si="0"/>
        <v>18</v>
      </c>
      <c r="L20" s="3">
        <f t="shared" si="1"/>
        <v>7.252167</v>
      </c>
      <c r="M20" s="3">
        <f t="shared" si="2"/>
        <v>-18.79437205</v>
      </c>
      <c r="N20" s="3">
        <f t="shared" si="3"/>
        <v>-8.0207975999999999</v>
      </c>
      <c r="O20">
        <f t="shared" si="4"/>
        <v>9</v>
      </c>
    </row>
    <row r="21" spans="1:15" x14ac:dyDescent="0.25">
      <c r="A21" t="s">
        <v>20</v>
      </c>
      <c r="C21">
        <v>19</v>
      </c>
      <c r="D21">
        <v>1888</v>
      </c>
      <c r="E21">
        <v>-1307</v>
      </c>
      <c r="F21">
        <v>-663</v>
      </c>
      <c r="K21">
        <f t="shared" si="0"/>
        <v>19</v>
      </c>
      <c r="L21" s="3">
        <f t="shared" si="1"/>
        <v>20.893287600000001</v>
      </c>
      <c r="M21" s="3">
        <f t="shared" si="2"/>
        <v>-6.5368058499999995</v>
      </c>
      <c r="N21" s="3">
        <f t="shared" si="3"/>
        <v>-2.6756448000000002</v>
      </c>
      <c r="O21">
        <f t="shared" si="4"/>
        <v>9.5</v>
      </c>
    </row>
    <row r="22" spans="1:15" x14ac:dyDescent="0.25">
      <c r="A22" t="s">
        <v>21</v>
      </c>
      <c r="C22">
        <v>20</v>
      </c>
      <c r="D22">
        <v>-2178</v>
      </c>
      <c r="E22">
        <v>1016</v>
      </c>
      <c r="F22">
        <v>-1970</v>
      </c>
      <c r="K22">
        <f t="shared" si="0"/>
        <v>20</v>
      </c>
      <c r="L22" s="3">
        <f t="shared" si="1"/>
        <v>-2.9830776000000001</v>
      </c>
      <c r="M22" s="3">
        <f t="shared" si="2"/>
        <v>6.5368058499999995</v>
      </c>
      <c r="N22" s="3">
        <f t="shared" si="3"/>
        <v>-10.6964424</v>
      </c>
      <c r="O22">
        <f t="shared" si="4"/>
        <v>10</v>
      </c>
    </row>
    <row r="23" spans="1:15" x14ac:dyDescent="0.25">
      <c r="A23" t="s">
        <v>22</v>
      </c>
      <c r="C23">
        <v>21</v>
      </c>
      <c r="D23">
        <v>-1597</v>
      </c>
      <c r="E23">
        <v>-435</v>
      </c>
      <c r="F23">
        <v>354</v>
      </c>
      <c r="K23">
        <f t="shared" si="0"/>
        <v>21</v>
      </c>
      <c r="L23" s="3">
        <f t="shared" si="1"/>
        <v>0.42867060000000001</v>
      </c>
      <c r="M23" s="3">
        <f t="shared" si="2"/>
        <v>-1.62927705</v>
      </c>
      <c r="N23" s="3">
        <f t="shared" si="3"/>
        <v>3.5654808000000004</v>
      </c>
      <c r="O23">
        <f t="shared" si="4"/>
        <v>10.5</v>
      </c>
    </row>
    <row r="24" spans="1:15" x14ac:dyDescent="0.25">
      <c r="A24" t="s">
        <v>23</v>
      </c>
      <c r="C24">
        <v>22</v>
      </c>
      <c r="D24">
        <v>-2759</v>
      </c>
      <c r="E24">
        <v>1742</v>
      </c>
      <c r="F24">
        <v>-1389</v>
      </c>
      <c r="K24">
        <f t="shared" si="0"/>
        <v>22</v>
      </c>
      <c r="L24" s="3">
        <f t="shared" si="1"/>
        <v>-6.3948258000000004</v>
      </c>
      <c r="M24" s="3">
        <f t="shared" si="2"/>
        <v>10.62266125</v>
      </c>
      <c r="N24" s="3">
        <f t="shared" si="3"/>
        <v>-7.1309616000000009</v>
      </c>
      <c r="O24">
        <f t="shared" si="4"/>
        <v>11</v>
      </c>
    </row>
    <row r="25" spans="1:15" x14ac:dyDescent="0.25">
      <c r="A25" t="s">
        <v>24</v>
      </c>
      <c r="C25">
        <v>23</v>
      </c>
      <c r="D25">
        <v>-4066</v>
      </c>
      <c r="E25">
        <v>-1743</v>
      </c>
      <c r="F25">
        <v>499</v>
      </c>
      <c r="K25">
        <f t="shared" si="0"/>
        <v>23</v>
      </c>
      <c r="L25" s="3">
        <f t="shared" si="1"/>
        <v>-14.069791200000001</v>
      </c>
      <c r="M25" s="3">
        <f t="shared" si="2"/>
        <v>-8.9905702499999993</v>
      </c>
      <c r="N25" s="3">
        <f t="shared" si="3"/>
        <v>4.4553168000000003</v>
      </c>
      <c r="O25">
        <f t="shared" si="4"/>
        <v>11.5</v>
      </c>
    </row>
    <row r="26" spans="1:15" x14ac:dyDescent="0.25">
      <c r="A26" t="s">
        <v>25</v>
      </c>
      <c r="C26">
        <v>24</v>
      </c>
      <c r="D26">
        <v>-725</v>
      </c>
      <c r="E26">
        <v>435</v>
      </c>
      <c r="F26">
        <v>64</v>
      </c>
      <c r="K26">
        <f t="shared" si="0"/>
        <v>24</v>
      </c>
      <c r="L26" s="3">
        <f t="shared" si="1"/>
        <v>5.5492290000000004</v>
      </c>
      <c r="M26" s="3">
        <f t="shared" si="2"/>
        <v>3.2669959500000001</v>
      </c>
      <c r="N26" s="3">
        <f t="shared" si="3"/>
        <v>1.7858088000000001</v>
      </c>
      <c r="O26">
        <f t="shared" si="4"/>
        <v>12</v>
      </c>
    </row>
    <row r="27" spans="1:15" x14ac:dyDescent="0.25">
      <c r="A27" t="s">
        <v>26</v>
      </c>
      <c r="C27">
        <v>25</v>
      </c>
      <c r="D27">
        <v>-1887</v>
      </c>
      <c r="E27">
        <v>-1162</v>
      </c>
      <c r="F27">
        <v>-663</v>
      </c>
      <c r="K27">
        <f t="shared" si="0"/>
        <v>25</v>
      </c>
      <c r="L27" s="3">
        <f t="shared" si="1"/>
        <v>-1.2742674000000001</v>
      </c>
      <c r="M27" s="3">
        <f t="shared" si="2"/>
        <v>-5.7207603499999999</v>
      </c>
      <c r="N27" s="3">
        <f t="shared" si="3"/>
        <v>-2.6756448000000002</v>
      </c>
      <c r="O27">
        <f t="shared" si="4"/>
        <v>12.5</v>
      </c>
    </row>
    <row r="28" spans="1:15" x14ac:dyDescent="0.25">
      <c r="A28" t="s">
        <v>27</v>
      </c>
      <c r="C28">
        <v>26</v>
      </c>
      <c r="D28">
        <v>-2323</v>
      </c>
      <c r="E28">
        <v>-1597</v>
      </c>
      <c r="F28">
        <v>-808</v>
      </c>
      <c r="K28">
        <f t="shared" si="0"/>
        <v>26</v>
      </c>
      <c r="L28" s="3">
        <f t="shared" si="1"/>
        <v>-3.8345465999999999</v>
      </c>
      <c r="M28" s="3">
        <f t="shared" si="2"/>
        <v>-8.1688968499999994</v>
      </c>
      <c r="N28" s="3">
        <f t="shared" si="3"/>
        <v>-3.5654808000000004</v>
      </c>
      <c r="O28">
        <f t="shared" si="4"/>
        <v>13</v>
      </c>
    </row>
    <row r="29" spans="1:15" x14ac:dyDescent="0.25">
      <c r="A29" t="s">
        <v>28</v>
      </c>
      <c r="C29">
        <v>27</v>
      </c>
      <c r="D29">
        <v>-2033</v>
      </c>
      <c r="E29">
        <v>-1016</v>
      </c>
      <c r="F29">
        <v>-1244</v>
      </c>
      <c r="K29">
        <f t="shared" si="0"/>
        <v>27</v>
      </c>
      <c r="L29" s="3">
        <f t="shared" si="1"/>
        <v>-2.1316085999999999</v>
      </c>
      <c r="M29" s="3">
        <f t="shared" si="2"/>
        <v>-4.8990869500000001</v>
      </c>
      <c r="N29" s="3">
        <f t="shared" si="3"/>
        <v>-6.2411256000000002</v>
      </c>
      <c r="O29">
        <f t="shared" si="4"/>
        <v>13.5</v>
      </c>
    </row>
    <row r="30" spans="1:15" x14ac:dyDescent="0.25">
      <c r="A30" t="s">
        <v>29</v>
      </c>
      <c r="C30">
        <v>28</v>
      </c>
      <c r="D30">
        <v>-1742</v>
      </c>
      <c r="E30">
        <v>-1016</v>
      </c>
      <c r="F30">
        <v>-663</v>
      </c>
      <c r="K30">
        <f t="shared" si="0"/>
        <v>28</v>
      </c>
      <c r="L30" s="3">
        <f t="shared" si="1"/>
        <v>-0.42279840000000002</v>
      </c>
      <c r="M30" s="3">
        <f t="shared" si="2"/>
        <v>-4.8990869500000001</v>
      </c>
      <c r="N30" s="3">
        <f t="shared" si="3"/>
        <v>-2.6756448000000002</v>
      </c>
      <c r="O30">
        <f t="shared" si="4"/>
        <v>14</v>
      </c>
    </row>
    <row r="31" spans="1:15" x14ac:dyDescent="0.25">
      <c r="A31" t="s">
        <v>30</v>
      </c>
      <c r="C31">
        <v>29</v>
      </c>
      <c r="D31">
        <v>-1887</v>
      </c>
      <c r="E31">
        <v>-871</v>
      </c>
      <c r="F31">
        <v>-953</v>
      </c>
      <c r="K31">
        <f t="shared" si="0"/>
        <v>29</v>
      </c>
      <c r="L31" s="3">
        <f t="shared" si="1"/>
        <v>-1.2742674000000001</v>
      </c>
      <c r="M31" s="3">
        <f t="shared" si="2"/>
        <v>-4.0830414499999996</v>
      </c>
      <c r="N31" s="3">
        <f t="shared" si="3"/>
        <v>-4.4553168000000003</v>
      </c>
      <c r="O31">
        <f t="shared" si="4"/>
        <v>14.5</v>
      </c>
    </row>
    <row r="32" spans="1:15" x14ac:dyDescent="0.25">
      <c r="A32" t="s">
        <v>31</v>
      </c>
      <c r="C32">
        <v>30</v>
      </c>
      <c r="D32">
        <v>-1742</v>
      </c>
      <c r="E32">
        <v>-726</v>
      </c>
      <c r="F32">
        <v>-517</v>
      </c>
      <c r="K32">
        <f t="shared" si="0"/>
        <v>30</v>
      </c>
      <c r="L32" s="3">
        <f t="shared" si="1"/>
        <v>-0.42279840000000002</v>
      </c>
      <c r="M32" s="3">
        <f t="shared" si="2"/>
        <v>-3.2669959500000001</v>
      </c>
      <c r="N32" s="3">
        <f t="shared" si="3"/>
        <v>-1.7796720000000001</v>
      </c>
      <c r="O32">
        <f t="shared" si="4"/>
        <v>15</v>
      </c>
    </row>
    <row r="33" spans="1:15" x14ac:dyDescent="0.25">
      <c r="A33" t="s">
        <v>32</v>
      </c>
      <c r="C33">
        <v>31</v>
      </c>
      <c r="D33">
        <v>-2033</v>
      </c>
      <c r="E33">
        <v>-2178</v>
      </c>
      <c r="F33">
        <v>-663</v>
      </c>
      <c r="K33">
        <f t="shared" si="0"/>
        <v>31</v>
      </c>
      <c r="L33" s="3">
        <f t="shared" si="1"/>
        <v>-2.1316085999999999</v>
      </c>
      <c r="M33" s="3">
        <f t="shared" si="2"/>
        <v>-11.43870675</v>
      </c>
      <c r="N33" s="3">
        <f t="shared" si="3"/>
        <v>-2.6756448000000002</v>
      </c>
      <c r="O33">
        <f t="shared" si="4"/>
        <v>15.5</v>
      </c>
    </row>
    <row r="34" spans="1:15" x14ac:dyDescent="0.25">
      <c r="A34" t="s">
        <v>33</v>
      </c>
      <c r="C34">
        <v>32</v>
      </c>
      <c r="D34">
        <v>0</v>
      </c>
      <c r="E34">
        <v>290</v>
      </c>
      <c r="F34">
        <v>790</v>
      </c>
      <c r="K34">
        <f t="shared" si="0"/>
        <v>32</v>
      </c>
      <c r="L34" s="3">
        <f t="shared" si="1"/>
        <v>9.8065739999999995</v>
      </c>
      <c r="M34" s="3">
        <f t="shared" si="2"/>
        <v>2.4509504500000001</v>
      </c>
      <c r="N34" s="3">
        <f t="shared" si="3"/>
        <v>6.2411256000000002</v>
      </c>
      <c r="O34">
        <f t="shared" si="4"/>
        <v>16</v>
      </c>
    </row>
    <row r="35" spans="1:15" x14ac:dyDescent="0.25">
      <c r="A35" t="s">
        <v>34</v>
      </c>
      <c r="C35">
        <v>33</v>
      </c>
      <c r="D35">
        <v>-435</v>
      </c>
      <c r="E35">
        <v>-1597</v>
      </c>
      <c r="F35">
        <v>790</v>
      </c>
      <c r="K35">
        <f t="shared" si="0"/>
        <v>33</v>
      </c>
      <c r="L35" s="3">
        <f t="shared" si="1"/>
        <v>7.252167</v>
      </c>
      <c r="M35" s="3">
        <f t="shared" si="2"/>
        <v>-8.1688968499999994</v>
      </c>
      <c r="N35" s="3">
        <f t="shared" si="3"/>
        <v>6.2411256000000002</v>
      </c>
      <c r="O35">
        <f t="shared" si="4"/>
        <v>16.5</v>
      </c>
    </row>
    <row r="36" spans="1:15" x14ac:dyDescent="0.25">
      <c r="A36" t="s">
        <v>35</v>
      </c>
      <c r="C36">
        <v>34</v>
      </c>
      <c r="D36">
        <v>-2178</v>
      </c>
      <c r="E36">
        <v>-1597</v>
      </c>
      <c r="F36">
        <v>-2115</v>
      </c>
      <c r="K36">
        <f t="shared" si="0"/>
        <v>34</v>
      </c>
      <c r="L36" s="3">
        <f t="shared" si="1"/>
        <v>-2.9830776000000001</v>
      </c>
      <c r="M36" s="3">
        <f t="shared" si="2"/>
        <v>-8.1688968499999994</v>
      </c>
      <c r="N36" s="3">
        <f t="shared" si="3"/>
        <v>-11.586278400000001</v>
      </c>
      <c r="O36">
        <f t="shared" si="4"/>
        <v>17</v>
      </c>
    </row>
    <row r="37" spans="1:15" x14ac:dyDescent="0.25">
      <c r="A37" t="s">
        <v>36</v>
      </c>
      <c r="C37">
        <v>35</v>
      </c>
      <c r="D37">
        <v>1598</v>
      </c>
      <c r="E37">
        <v>435</v>
      </c>
      <c r="F37">
        <v>-953</v>
      </c>
      <c r="K37">
        <f t="shared" si="0"/>
        <v>35</v>
      </c>
      <c r="L37" s="3">
        <f t="shared" si="1"/>
        <v>19.190349600000001</v>
      </c>
      <c r="M37" s="3">
        <f t="shared" si="2"/>
        <v>3.2669959500000001</v>
      </c>
      <c r="N37" s="3">
        <f t="shared" si="3"/>
        <v>-4.4553168000000003</v>
      </c>
      <c r="O37">
        <f t="shared" si="4"/>
        <v>17.5</v>
      </c>
    </row>
    <row r="38" spans="1:15" x14ac:dyDescent="0.25">
      <c r="A38" t="s">
        <v>37</v>
      </c>
      <c r="C38">
        <v>36</v>
      </c>
      <c r="D38">
        <v>-4647</v>
      </c>
      <c r="E38">
        <v>-1016</v>
      </c>
      <c r="F38">
        <v>1516</v>
      </c>
      <c r="K38">
        <f t="shared" si="0"/>
        <v>36</v>
      </c>
      <c r="L38" s="3">
        <f t="shared" si="1"/>
        <v>-17.481539399999999</v>
      </c>
      <c r="M38" s="3">
        <f t="shared" si="2"/>
        <v>-4.8990869500000001</v>
      </c>
      <c r="N38" s="3">
        <f t="shared" si="3"/>
        <v>10.6964424</v>
      </c>
      <c r="O38">
        <f t="shared" si="4"/>
        <v>18</v>
      </c>
    </row>
    <row r="39" spans="1:15" x14ac:dyDescent="0.25">
      <c r="A39" t="s">
        <v>38</v>
      </c>
      <c r="C39">
        <v>37</v>
      </c>
      <c r="D39">
        <v>-1016</v>
      </c>
      <c r="E39">
        <v>2614</v>
      </c>
      <c r="F39">
        <v>-953</v>
      </c>
      <c r="K39">
        <f t="shared" si="0"/>
        <v>37</v>
      </c>
      <c r="L39" s="3">
        <f t="shared" si="1"/>
        <v>3.8404188000000001</v>
      </c>
      <c r="M39" s="3">
        <f t="shared" si="2"/>
        <v>15.53019005</v>
      </c>
      <c r="N39" s="3">
        <f t="shared" si="3"/>
        <v>-4.4553168000000003</v>
      </c>
      <c r="O39">
        <f t="shared" si="4"/>
        <v>18.5</v>
      </c>
    </row>
    <row r="40" spans="1:15" x14ac:dyDescent="0.25">
      <c r="A40" t="s">
        <v>39</v>
      </c>
      <c r="C40">
        <v>38</v>
      </c>
      <c r="D40">
        <v>3341</v>
      </c>
      <c r="E40">
        <v>-2178</v>
      </c>
      <c r="F40">
        <v>790</v>
      </c>
      <c r="K40">
        <f t="shared" si="0"/>
        <v>38</v>
      </c>
      <c r="L40" s="3">
        <f t="shared" si="1"/>
        <v>29.425594200000003</v>
      </c>
      <c r="M40" s="3">
        <f t="shared" si="2"/>
        <v>-11.43870675</v>
      </c>
      <c r="N40" s="3">
        <f t="shared" si="3"/>
        <v>6.2411256000000002</v>
      </c>
      <c r="O40">
        <f t="shared" si="4"/>
        <v>19</v>
      </c>
    </row>
    <row r="41" spans="1:15" x14ac:dyDescent="0.25">
      <c r="A41" t="s">
        <v>40</v>
      </c>
      <c r="C41">
        <v>39</v>
      </c>
      <c r="D41">
        <v>-3340</v>
      </c>
      <c r="E41">
        <v>-435</v>
      </c>
      <c r="F41">
        <v>-2260</v>
      </c>
      <c r="K41">
        <f t="shared" si="0"/>
        <v>39</v>
      </c>
      <c r="L41" s="3">
        <f t="shared" si="1"/>
        <v>-9.8065739999999995</v>
      </c>
      <c r="M41" s="3">
        <f t="shared" si="2"/>
        <v>-1.62927705</v>
      </c>
      <c r="N41" s="3">
        <f t="shared" si="3"/>
        <v>-12.4761144</v>
      </c>
      <c r="O41">
        <f t="shared" si="4"/>
        <v>19.5</v>
      </c>
    </row>
    <row r="42" spans="1:15" x14ac:dyDescent="0.25">
      <c r="A42" t="s">
        <v>41</v>
      </c>
      <c r="C42">
        <v>40</v>
      </c>
      <c r="D42">
        <v>1743</v>
      </c>
      <c r="E42">
        <v>-3631</v>
      </c>
      <c r="F42">
        <v>3259</v>
      </c>
      <c r="K42">
        <f t="shared" si="0"/>
        <v>40</v>
      </c>
      <c r="L42" s="3">
        <f t="shared" si="1"/>
        <v>20.041818599999999</v>
      </c>
      <c r="M42" s="3">
        <f t="shared" si="2"/>
        <v>-19.616045450000001</v>
      </c>
      <c r="N42" s="3">
        <f t="shared" si="3"/>
        <v>21.392884800000001</v>
      </c>
      <c r="O42">
        <f t="shared" si="4"/>
        <v>20</v>
      </c>
    </row>
    <row r="43" spans="1:15" x14ac:dyDescent="0.25">
      <c r="A43" t="s">
        <v>42</v>
      </c>
      <c r="C43">
        <v>41</v>
      </c>
      <c r="D43">
        <v>290</v>
      </c>
      <c r="E43">
        <v>3195</v>
      </c>
      <c r="F43">
        <v>-227</v>
      </c>
      <c r="K43">
        <f t="shared" si="0"/>
        <v>41</v>
      </c>
      <c r="L43" s="3">
        <f t="shared" si="1"/>
        <v>11.509512000000001</v>
      </c>
      <c r="M43" s="3">
        <f t="shared" si="2"/>
        <v>18.79999995</v>
      </c>
      <c r="N43" s="3">
        <f t="shared" si="3"/>
        <v>0</v>
      </c>
      <c r="O43">
        <f t="shared" si="4"/>
        <v>20.5</v>
      </c>
    </row>
    <row r="44" spans="1:15" x14ac:dyDescent="0.25">
      <c r="A44" t="s">
        <v>43</v>
      </c>
      <c r="C44">
        <v>42</v>
      </c>
      <c r="D44">
        <v>1888</v>
      </c>
      <c r="E44">
        <v>-581</v>
      </c>
      <c r="F44">
        <v>-1679</v>
      </c>
      <c r="K44">
        <f t="shared" si="0"/>
        <v>42</v>
      </c>
      <c r="L44" s="3">
        <f t="shared" si="1"/>
        <v>20.893287600000001</v>
      </c>
      <c r="M44" s="3">
        <f t="shared" si="2"/>
        <v>-2.4509504500000001</v>
      </c>
      <c r="N44" s="3">
        <f t="shared" si="3"/>
        <v>-8.9106336000000006</v>
      </c>
      <c r="O44">
        <f t="shared" si="4"/>
        <v>21</v>
      </c>
    </row>
    <row r="45" spans="1:15" x14ac:dyDescent="0.25">
      <c r="A45" t="s">
        <v>44</v>
      </c>
      <c r="C45">
        <v>43</v>
      </c>
      <c r="D45">
        <v>1743</v>
      </c>
      <c r="E45">
        <v>-1016</v>
      </c>
      <c r="F45">
        <v>-1098</v>
      </c>
      <c r="K45">
        <f t="shared" si="0"/>
        <v>43</v>
      </c>
      <c r="L45" s="3">
        <f t="shared" si="1"/>
        <v>20.041818599999999</v>
      </c>
      <c r="M45" s="3">
        <f t="shared" si="2"/>
        <v>-4.8990869500000001</v>
      </c>
      <c r="N45" s="3">
        <f t="shared" si="3"/>
        <v>-5.3451528000000001</v>
      </c>
      <c r="O45">
        <f t="shared" si="4"/>
        <v>21.5</v>
      </c>
    </row>
    <row r="46" spans="1:15" x14ac:dyDescent="0.25">
      <c r="A46" t="s">
        <v>45</v>
      </c>
      <c r="C46">
        <v>44</v>
      </c>
      <c r="D46">
        <v>3050</v>
      </c>
      <c r="E46">
        <v>-3631</v>
      </c>
      <c r="F46">
        <v>1952</v>
      </c>
      <c r="K46">
        <f t="shared" si="0"/>
        <v>44</v>
      </c>
      <c r="L46" s="3">
        <f t="shared" si="1"/>
        <v>27.716784000000001</v>
      </c>
      <c r="M46" s="3">
        <f t="shared" si="2"/>
        <v>-19.616045450000001</v>
      </c>
      <c r="N46" s="3">
        <f t="shared" si="3"/>
        <v>13.372087200000001</v>
      </c>
      <c r="O46">
        <f t="shared" si="4"/>
        <v>22</v>
      </c>
    </row>
    <row r="47" spans="1:15" x14ac:dyDescent="0.25">
      <c r="A47" t="s">
        <v>46</v>
      </c>
      <c r="C47">
        <v>45</v>
      </c>
      <c r="D47">
        <v>2324</v>
      </c>
      <c r="E47">
        <v>-3776</v>
      </c>
      <c r="F47">
        <v>-3858</v>
      </c>
      <c r="K47">
        <f t="shared" si="0"/>
        <v>45</v>
      </c>
      <c r="L47" s="3">
        <f t="shared" si="1"/>
        <v>23.453566800000001</v>
      </c>
      <c r="M47" s="3">
        <f t="shared" si="2"/>
        <v>-20.432090949999999</v>
      </c>
      <c r="N47" s="3">
        <f t="shared" si="3"/>
        <v>-22.2827208</v>
      </c>
      <c r="O47">
        <f t="shared" si="4"/>
        <v>22.5</v>
      </c>
    </row>
    <row r="48" spans="1:15" x14ac:dyDescent="0.25">
      <c r="A48" t="s">
        <v>47</v>
      </c>
      <c r="C48">
        <v>46</v>
      </c>
      <c r="D48">
        <v>4648</v>
      </c>
      <c r="E48">
        <v>871</v>
      </c>
      <c r="F48">
        <v>4131</v>
      </c>
      <c r="K48">
        <f t="shared" si="0"/>
        <v>46</v>
      </c>
      <c r="L48" s="3">
        <f t="shared" si="1"/>
        <v>37.100559600000004</v>
      </c>
      <c r="M48" s="3">
        <f t="shared" si="2"/>
        <v>5.7207603499999999</v>
      </c>
      <c r="N48" s="3">
        <f t="shared" si="3"/>
        <v>26.744174400000002</v>
      </c>
      <c r="O48">
        <f t="shared" si="4"/>
        <v>23</v>
      </c>
    </row>
    <row r="49" spans="1:15" x14ac:dyDescent="0.25">
      <c r="A49" t="s">
        <v>48</v>
      </c>
      <c r="C49">
        <v>47</v>
      </c>
      <c r="D49">
        <v>1307</v>
      </c>
      <c r="E49">
        <v>580</v>
      </c>
      <c r="F49">
        <v>-808</v>
      </c>
      <c r="K49">
        <f t="shared" si="0"/>
        <v>47</v>
      </c>
      <c r="L49" s="3">
        <f t="shared" si="1"/>
        <v>17.481539399999999</v>
      </c>
      <c r="M49" s="3">
        <f t="shared" si="2"/>
        <v>4.0830414499999996</v>
      </c>
      <c r="N49" s="3">
        <f t="shared" si="3"/>
        <v>-3.5654808000000004</v>
      </c>
      <c r="O49">
        <f t="shared" si="4"/>
        <v>23.5</v>
      </c>
    </row>
    <row r="50" spans="1:15" x14ac:dyDescent="0.25">
      <c r="A50" t="s">
        <v>49</v>
      </c>
      <c r="C50">
        <v>48</v>
      </c>
      <c r="D50">
        <v>145</v>
      </c>
      <c r="E50">
        <v>-1743</v>
      </c>
      <c r="F50">
        <v>1226</v>
      </c>
      <c r="K50">
        <f t="shared" si="0"/>
        <v>48</v>
      </c>
      <c r="L50" s="3">
        <f t="shared" si="1"/>
        <v>10.658043000000001</v>
      </c>
      <c r="M50" s="3">
        <f t="shared" si="2"/>
        <v>-8.9905702499999993</v>
      </c>
      <c r="N50" s="3">
        <f t="shared" si="3"/>
        <v>8.9167704000000008</v>
      </c>
      <c r="O50">
        <f t="shared" si="4"/>
        <v>24</v>
      </c>
    </row>
    <row r="51" spans="1:15" x14ac:dyDescent="0.25">
      <c r="A51" t="s">
        <v>50</v>
      </c>
      <c r="C51">
        <v>49</v>
      </c>
      <c r="D51">
        <v>1452</v>
      </c>
      <c r="E51">
        <v>-726</v>
      </c>
      <c r="F51">
        <v>-1679</v>
      </c>
      <c r="K51">
        <f t="shared" si="0"/>
        <v>49</v>
      </c>
      <c r="L51" s="3">
        <f t="shared" si="1"/>
        <v>18.333008400000001</v>
      </c>
      <c r="M51" s="3">
        <f t="shared" si="2"/>
        <v>-3.2669959500000001</v>
      </c>
      <c r="N51" s="3">
        <f t="shared" si="3"/>
        <v>-8.9106336000000006</v>
      </c>
      <c r="O51">
        <f t="shared" si="4"/>
        <v>24.5</v>
      </c>
    </row>
    <row r="52" spans="1:15" x14ac:dyDescent="0.25">
      <c r="A52" t="s">
        <v>51</v>
      </c>
      <c r="C52">
        <v>50</v>
      </c>
      <c r="D52">
        <v>2324</v>
      </c>
      <c r="E52">
        <v>-1162</v>
      </c>
      <c r="F52">
        <v>1226</v>
      </c>
      <c r="K52">
        <f t="shared" si="0"/>
        <v>50</v>
      </c>
      <c r="L52" s="3">
        <f t="shared" si="1"/>
        <v>23.453566800000001</v>
      </c>
      <c r="M52" s="3">
        <f t="shared" si="2"/>
        <v>-5.7207603499999999</v>
      </c>
      <c r="N52" s="3">
        <f t="shared" si="3"/>
        <v>8.9167704000000008</v>
      </c>
      <c r="O52">
        <f t="shared" si="4"/>
        <v>25</v>
      </c>
    </row>
    <row r="53" spans="1:15" x14ac:dyDescent="0.25">
      <c r="A53" t="s">
        <v>52</v>
      </c>
      <c r="C53">
        <v>51</v>
      </c>
      <c r="D53">
        <v>2324</v>
      </c>
      <c r="E53">
        <v>-581</v>
      </c>
      <c r="F53">
        <v>-227</v>
      </c>
      <c r="K53">
        <f t="shared" si="0"/>
        <v>51</v>
      </c>
      <c r="L53" s="3">
        <f t="shared" si="1"/>
        <v>23.453566800000001</v>
      </c>
      <c r="M53" s="3">
        <f t="shared" si="2"/>
        <v>-2.4509504500000001</v>
      </c>
      <c r="N53" s="3">
        <f t="shared" si="3"/>
        <v>0</v>
      </c>
      <c r="O53">
        <f t="shared" si="4"/>
        <v>25.5</v>
      </c>
    </row>
    <row r="54" spans="1:15" x14ac:dyDescent="0.25">
      <c r="A54" t="s">
        <v>53</v>
      </c>
      <c r="C54">
        <v>52</v>
      </c>
      <c r="D54">
        <v>3341</v>
      </c>
      <c r="E54">
        <v>-581</v>
      </c>
      <c r="F54">
        <v>-1825</v>
      </c>
      <c r="K54">
        <f t="shared" si="0"/>
        <v>52</v>
      </c>
      <c r="L54" s="3">
        <f t="shared" si="1"/>
        <v>29.425594200000003</v>
      </c>
      <c r="M54" s="3">
        <f t="shared" si="2"/>
        <v>-2.4509504500000001</v>
      </c>
      <c r="N54" s="3">
        <f t="shared" si="3"/>
        <v>-9.8066064000000015</v>
      </c>
      <c r="O54">
        <f t="shared" si="4"/>
        <v>26</v>
      </c>
    </row>
    <row r="55" spans="1:15" x14ac:dyDescent="0.25">
      <c r="A55" t="s">
        <v>54</v>
      </c>
      <c r="C55">
        <v>53</v>
      </c>
      <c r="D55">
        <v>1307</v>
      </c>
      <c r="E55">
        <v>-1162</v>
      </c>
      <c r="F55">
        <v>1952</v>
      </c>
      <c r="K55">
        <f t="shared" si="0"/>
        <v>53</v>
      </c>
      <c r="L55" s="3">
        <f t="shared" si="1"/>
        <v>17.481539399999999</v>
      </c>
      <c r="M55" s="3">
        <f t="shared" si="2"/>
        <v>-5.7207603499999999</v>
      </c>
      <c r="N55" s="3">
        <f t="shared" si="3"/>
        <v>13.372087200000001</v>
      </c>
      <c r="O55">
        <f t="shared" si="4"/>
        <v>26.5</v>
      </c>
    </row>
    <row r="56" spans="1:15" x14ac:dyDescent="0.25">
      <c r="A56" t="s">
        <v>55</v>
      </c>
      <c r="C56">
        <v>54</v>
      </c>
      <c r="D56">
        <v>2179</v>
      </c>
      <c r="E56">
        <v>-3195</v>
      </c>
      <c r="F56">
        <v>-1825</v>
      </c>
      <c r="K56">
        <f t="shared" si="0"/>
        <v>54</v>
      </c>
      <c r="L56" s="3">
        <f t="shared" si="1"/>
        <v>22.602097799999999</v>
      </c>
      <c r="M56" s="3">
        <f t="shared" si="2"/>
        <v>-17.162281050000001</v>
      </c>
      <c r="N56" s="3">
        <f t="shared" si="3"/>
        <v>-9.8066064000000015</v>
      </c>
      <c r="O56">
        <f t="shared" si="4"/>
        <v>27</v>
      </c>
    </row>
    <row r="57" spans="1:15" x14ac:dyDescent="0.25">
      <c r="A57" t="s">
        <v>56</v>
      </c>
      <c r="C57">
        <v>55</v>
      </c>
      <c r="D57">
        <v>4648</v>
      </c>
      <c r="E57">
        <v>-435</v>
      </c>
      <c r="F57">
        <v>2533</v>
      </c>
      <c r="K57">
        <f t="shared" si="0"/>
        <v>55</v>
      </c>
      <c r="L57" s="3">
        <f t="shared" si="1"/>
        <v>37.100559600000004</v>
      </c>
      <c r="M57" s="3">
        <f t="shared" si="2"/>
        <v>-1.62927705</v>
      </c>
      <c r="N57" s="3">
        <f t="shared" si="3"/>
        <v>16.937568000000002</v>
      </c>
      <c r="O57">
        <f t="shared" si="4"/>
        <v>27.5</v>
      </c>
    </row>
    <row r="58" spans="1:15" x14ac:dyDescent="0.25">
      <c r="A58" t="s">
        <v>57</v>
      </c>
      <c r="C58">
        <v>56</v>
      </c>
      <c r="D58">
        <v>1743</v>
      </c>
      <c r="E58">
        <v>145</v>
      </c>
      <c r="F58">
        <v>-517</v>
      </c>
      <c r="K58">
        <f t="shared" si="0"/>
        <v>56</v>
      </c>
      <c r="L58" s="3">
        <f t="shared" si="1"/>
        <v>20.041818599999999</v>
      </c>
      <c r="M58" s="3">
        <f t="shared" si="2"/>
        <v>1.6349049499999999</v>
      </c>
      <c r="N58" s="3">
        <f t="shared" si="3"/>
        <v>-1.7796720000000001</v>
      </c>
      <c r="O58">
        <f t="shared" si="4"/>
        <v>28</v>
      </c>
    </row>
    <row r="59" spans="1:15" x14ac:dyDescent="0.25">
      <c r="A59" t="s">
        <v>58</v>
      </c>
      <c r="C59">
        <v>57</v>
      </c>
      <c r="D59">
        <v>5955</v>
      </c>
      <c r="E59">
        <v>-1162</v>
      </c>
      <c r="F59">
        <v>1807</v>
      </c>
      <c r="K59">
        <f t="shared" si="0"/>
        <v>57</v>
      </c>
      <c r="L59" s="3">
        <f t="shared" si="1"/>
        <v>44.775525000000002</v>
      </c>
      <c r="M59" s="3">
        <f t="shared" si="2"/>
        <v>-5.7207603499999999</v>
      </c>
      <c r="N59" s="3">
        <f t="shared" si="3"/>
        <v>12.4822512</v>
      </c>
      <c r="O59">
        <f t="shared" si="4"/>
        <v>28.5</v>
      </c>
    </row>
    <row r="60" spans="1:15" x14ac:dyDescent="0.25">
      <c r="A60" t="s">
        <v>59</v>
      </c>
      <c r="C60">
        <v>58</v>
      </c>
      <c r="D60">
        <v>3195</v>
      </c>
      <c r="E60">
        <v>-290</v>
      </c>
      <c r="F60">
        <v>209</v>
      </c>
      <c r="K60">
        <f t="shared" si="0"/>
        <v>58</v>
      </c>
      <c r="L60" s="3">
        <f t="shared" si="1"/>
        <v>28.568253000000002</v>
      </c>
      <c r="M60" s="3">
        <f t="shared" si="2"/>
        <v>-0.81323155000000003</v>
      </c>
      <c r="N60" s="3">
        <f t="shared" si="3"/>
        <v>2.6756448000000002</v>
      </c>
      <c r="O60">
        <f t="shared" si="4"/>
        <v>29</v>
      </c>
    </row>
    <row r="61" spans="1:15" x14ac:dyDescent="0.25">
      <c r="A61" t="s">
        <v>60</v>
      </c>
      <c r="C61">
        <v>59</v>
      </c>
      <c r="D61">
        <v>2469</v>
      </c>
      <c r="E61">
        <v>580</v>
      </c>
      <c r="F61">
        <v>935</v>
      </c>
      <c r="K61">
        <f t="shared" si="0"/>
        <v>59</v>
      </c>
      <c r="L61" s="3">
        <f t="shared" si="1"/>
        <v>24.305035800000002</v>
      </c>
      <c r="M61" s="3">
        <f t="shared" si="2"/>
        <v>4.0830414499999996</v>
      </c>
      <c r="N61" s="3">
        <f t="shared" si="3"/>
        <v>7.1309616000000009</v>
      </c>
      <c r="O61">
        <f t="shared" si="4"/>
        <v>29.5</v>
      </c>
    </row>
    <row r="62" spans="1:15" x14ac:dyDescent="0.25">
      <c r="A62" t="s">
        <v>61</v>
      </c>
      <c r="C62">
        <v>60</v>
      </c>
      <c r="D62">
        <v>1743</v>
      </c>
      <c r="E62">
        <v>-3340</v>
      </c>
      <c r="F62">
        <v>-1679</v>
      </c>
      <c r="K62">
        <f t="shared" si="0"/>
        <v>60</v>
      </c>
      <c r="L62" s="3">
        <f t="shared" si="1"/>
        <v>20.041818599999999</v>
      </c>
      <c r="M62" s="3">
        <f t="shared" si="2"/>
        <v>-17.978326549999998</v>
      </c>
      <c r="N62" s="3">
        <f t="shared" si="3"/>
        <v>-8.9106336000000006</v>
      </c>
      <c r="O62">
        <f t="shared" si="4"/>
        <v>30</v>
      </c>
    </row>
    <row r="63" spans="1:15" x14ac:dyDescent="0.25">
      <c r="A63" t="s">
        <v>62</v>
      </c>
      <c r="C63">
        <v>61</v>
      </c>
      <c r="D63">
        <v>4067</v>
      </c>
      <c r="E63">
        <v>-290</v>
      </c>
      <c r="F63">
        <v>-82</v>
      </c>
      <c r="K63">
        <f t="shared" si="0"/>
        <v>61</v>
      </c>
      <c r="L63" s="3">
        <f t="shared" si="1"/>
        <v>33.688811399999999</v>
      </c>
      <c r="M63" s="3">
        <f t="shared" si="2"/>
        <v>-0.81323155000000003</v>
      </c>
      <c r="N63" s="3">
        <f t="shared" si="3"/>
        <v>0.88983600000000007</v>
      </c>
      <c r="O63">
        <f t="shared" si="4"/>
        <v>30.5</v>
      </c>
    </row>
    <row r="64" spans="1:15" x14ac:dyDescent="0.25">
      <c r="A64" t="s">
        <v>63</v>
      </c>
      <c r="C64">
        <v>62</v>
      </c>
      <c r="D64">
        <v>2469</v>
      </c>
      <c r="E64">
        <v>-3195</v>
      </c>
      <c r="F64">
        <v>1661</v>
      </c>
      <c r="K64">
        <f t="shared" si="0"/>
        <v>62</v>
      </c>
      <c r="L64" s="3">
        <f t="shared" si="1"/>
        <v>24.305035800000002</v>
      </c>
      <c r="M64" s="3">
        <f t="shared" si="2"/>
        <v>-17.162281050000001</v>
      </c>
      <c r="N64" s="3">
        <f t="shared" si="3"/>
        <v>11.586278400000001</v>
      </c>
      <c r="O64">
        <f t="shared" si="4"/>
        <v>31</v>
      </c>
    </row>
    <row r="65" spans="1:15" x14ac:dyDescent="0.25">
      <c r="A65" t="s">
        <v>64</v>
      </c>
      <c r="C65">
        <v>63</v>
      </c>
      <c r="D65">
        <v>2469</v>
      </c>
      <c r="E65">
        <v>580</v>
      </c>
      <c r="F65">
        <v>1371</v>
      </c>
      <c r="K65">
        <f t="shared" si="0"/>
        <v>63</v>
      </c>
      <c r="L65" s="3">
        <f t="shared" si="1"/>
        <v>24.305035800000002</v>
      </c>
      <c r="M65" s="3">
        <f t="shared" si="2"/>
        <v>4.0830414499999996</v>
      </c>
      <c r="N65" s="3">
        <f t="shared" si="3"/>
        <v>9.8066064000000015</v>
      </c>
      <c r="O65">
        <f t="shared" si="4"/>
        <v>31.5</v>
      </c>
    </row>
    <row r="66" spans="1:15" x14ac:dyDescent="0.25">
      <c r="A66" t="s">
        <v>65</v>
      </c>
      <c r="C66">
        <v>64</v>
      </c>
      <c r="D66">
        <v>4938</v>
      </c>
      <c r="E66">
        <v>435</v>
      </c>
      <c r="F66">
        <v>499</v>
      </c>
      <c r="K66">
        <f t="shared" ref="K66:K115" si="5">C66</f>
        <v>64</v>
      </c>
      <c r="L66" s="3">
        <f t="shared" si="1"/>
        <v>38.8034976</v>
      </c>
      <c r="M66" s="3">
        <f t="shared" si="2"/>
        <v>3.2669959500000001</v>
      </c>
      <c r="N66" s="3">
        <f t="shared" si="3"/>
        <v>4.4553168000000003</v>
      </c>
      <c r="O66">
        <f t="shared" si="4"/>
        <v>32</v>
      </c>
    </row>
    <row r="67" spans="1:15" x14ac:dyDescent="0.25">
      <c r="A67" t="s">
        <v>66</v>
      </c>
      <c r="C67">
        <v>65</v>
      </c>
      <c r="D67">
        <v>1452</v>
      </c>
      <c r="E67">
        <v>-3631</v>
      </c>
      <c r="F67">
        <v>1661</v>
      </c>
      <c r="K67">
        <f t="shared" si="5"/>
        <v>65</v>
      </c>
      <c r="L67" s="3">
        <f t="shared" ref="L67:L115" si="6">(D67+I$6)*I$3</f>
        <v>18.333008400000001</v>
      </c>
      <c r="M67" s="3">
        <f t="shared" ref="M67:M115" si="7">(E67+I$12)*I$9</f>
        <v>-19.616045450000001</v>
      </c>
      <c r="N67" s="3">
        <f t="shared" ref="N67:N115" si="8">(F67+I$19)*I$16</f>
        <v>11.586278400000001</v>
      </c>
      <c r="O67">
        <f t="shared" ref="O67:O115" si="9">K67*0.5</f>
        <v>32.5</v>
      </c>
    </row>
    <row r="68" spans="1:15" x14ac:dyDescent="0.25">
      <c r="A68" t="s">
        <v>67</v>
      </c>
      <c r="C68">
        <v>66</v>
      </c>
      <c r="D68">
        <v>3486</v>
      </c>
      <c r="E68">
        <v>2033</v>
      </c>
      <c r="F68">
        <v>-4439</v>
      </c>
      <c r="K68">
        <f t="shared" si="5"/>
        <v>66</v>
      </c>
      <c r="L68" s="3">
        <f t="shared" si="6"/>
        <v>30.277063200000001</v>
      </c>
      <c r="M68" s="3">
        <f t="shared" si="7"/>
        <v>12.26038015</v>
      </c>
      <c r="N68" s="3">
        <f t="shared" si="8"/>
        <v>-25.848201600000003</v>
      </c>
      <c r="O68">
        <f t="shared" si="9"/>
        <v>33</v>
      </c>
    </row>
    <row r="69" spans="1:15" x14ac:dyDescent="0.25">
      <c r="A69" t="s">
        <v>68</v>
      </c>
      <c r="C69">
        <v>67</v>
      </c>
      <c r="D69">
        <v>7262</v>
      </c>
      <c r="E69">
        <v>-3921</v>
      </c>
      <c r="F69">
        <v>2969</v>
      </c>
      <c r="K69">
        <f t="shared" si="5"/>
        <v>67</v>
      </c>
      <c r="L69" s="3">
        <f t="shared" si="6"/>
        <v>52.4504904</v>
      </c>
      <c r="M69" s="3">
        <f t="shared" si="7"/>
        <v>-21.248136450000001</v>
      </c>
      <c r="N69" s="3">
        <f t="shared" si="8"/>
        <v>19.613212800000003</v>
      </c>
      <c r="O69">
        <f t="shared" si="9"/>
        <v>33.5</v>
      </c>
    </row>
    <row r="70" spans="1:15" x14ac:dyDescent="0.25">
      <c r="A70" t="s">
        <v>69</v>
      </c>
      <c r="C70">
        <v>68</v>
      </c>
      <c r="D70">
        <v>4502</v>
      </c>
      <c r="E70">
        <v>-145</v>
      </c>
      <c r="F70">
        <v>4566</v>
      </c>
      <c r="K70">
        <f t="shared" si="5"/>
        <v>68</v>
      </c>
      <c r="L70" s="3">
        <f t="shared" si="6"/>
        <v>36.243218400000003</v>
      </c>
      <c r="M70" s="3">
        <f t="shared" si="7"/>
        <v>2.81395E-3</v>
      </c>
      <c r="N70" s="3">
        <f t="shared" si="8"/>
        <v>29.413682400000003</v>
      </c>
      <c r="O70">
        <f t="shared" si="9"/>
        <v>34</v>
      </c>
    </row>
    <row r="71" spans="1:15" x14ac:dyDescent="0.25">
      <c r="A71" t="s">
        <v>70</v>
      </c>
      <c r="C71">
        <v>69</v>
      </c>
      <c r="D71">
        <v>6826</v>
      </c>
      <c r="E71">
        <v>-1743</v>
      </c>
      <c r="F71">
        <v>5438</v>
      </c>
      <c r="K71">
        <f t="shared" si="5"/>
        <v>69</v>
      </c>
      <c r="L71" s="3">
        <f t="shared" si="6"/>
        <v>49.890211200000003</v>
      </c>
      <c r="M71" s="3">
        <f t="shared" si="7"/>
        <v>-8.9905702499999993</v>
      </c>
      <c r="N71" s="3">
        <f t="shared" si="8"/>
        <v>34.764972</v>
      </c>
      <c r="O71">
        <f t="shared" si="9"/>
        <v>34.5</v>
      </c>
    </row>
    <row r="72" spans="1:15" x14ac:dyDescent="0.25">
      <c r="A72" t="s">
        <v>71</v>
      </c>
      <c r="C72">
        <v>70</v>
      </c>
      <c r="D72">
        <v>4067</v>
      </c>
      <c r="E72">
        <v>-4938</v>
      </c>
      <c r="F72">
        <v>-1534</v>
      </c>
      <c r="K72">
        <f t="shared" si="5"/>
        <v>70</v>
      </c>
      <c r="L72" s="3">
        <f t="shared" si="6"/>
        <v>33.688811399999999</v>
      </c>
      <c r="M72" s="3">
        <f t="shared" si="7"/>
        <v>-26.97171075</v>
      </c>
      <c r="N72" s="3">
        <f t="shared" si="8"/>
        <v>-8.0207975999999999</v>
      </c>
      <c r="O72">
        <f t="shared" si="9"/>
        <v>35</v>
      </c>
    </row>
    <row r="73" spans="1:15" x14ac:dyDescent="0.25">
      <c r="A73" t="s">
        <v>72</v>
      </c>
      <c r="C73">
        <v>71</v>
      </c>
      <c r="D73">
        <v>1162</v>
      </c>
      <c r="E73">
        <v>1742</v>
      </c>
      <c r="F73">
        <v>-1534</v>
      </c>
      <c r="K73">
        <f t="shared" si="5"/>
        <v>71</v>
      </c>
      <c r="L73" s="3">
        <f t="shared" si="6"/>
        <v>16.630070400000001</v>
      </c>
      <c r="M73" s="3">
        <f t="shared" si="7"/>
        <v>10.62266125</v>
      </c>
      <c r="N73" s="3">
        <f t="shared" si="8"/>
        <v>-8.0207975999999999</v>
      </c>
      <c r="O73">
        <f t="shared" si="9"/>
        <v>35.5</v>
      </c>
    </row>
    <row r="74" spans="1:15" x14ac:dyDescent="0.25">
      <c r="A74" t="s">
        <v>73</v>
      </c>
      <c r="C74">
        <v>72</v>
      </c>
      <c r="D74">
        <v>1017</v>
      </c>
      <c r="E74">
        <v>145</v>
      </c>
      <c r="F74">
        <v>2388</v>
      </c>
      <c r="K74">
        <f t="shared" si="5"/>
        <v>72</v>
      </c>
      <c r="L74" s="3">
        <f t="shared" si="6"/>
        <v>15.778601400000001</v>
      </c>
      <c r="M74" s="3">
        <f t="shared" si="7"/>
        <v>1.6349049499999999</v>
      </c>
      <c r="N74" s="3">
        <f t="shared" si="8"/>
        <v>16.047732</v>
      </c>
      <c r="O74">
        <f t="shared" si="9"/>
        <v>36</v>
      </c>
    </row>
    <row r="75" spans="1:15" x14ac:dyDescent="0.25">
      <c r="A75" t="s">
        <v>74</v>
      </c>
      <c r="C75">
        <v>73</v>
      </c>
      <c r="D75">
        <v>3486</v>
      </c>
      <c r="E75">
        <v>-1307</v>
      </c>
      <c r="F75">
        <v>3985</v>
      </c>
      <c r="K75">
        <f t="shared" si="5"/>
        <v>73</v>
      </c>
      <c r="L75" s="3">
        <f t="shared" si="6"/>
        <v>30.277063200000001</v>
      </c>
      <c r="M75" s="3">
        <f t="shared" si="7"/>
        <v>-6.5368058499999995</v>
      </c>
      <c r="N75" s="3">
        <f t="shared" si="8"/>
        <v>25.848201600000003</v>
      </c>
      <c r="O75">
        <f t="shared" si="9"/>
        <v>36.5</v>
      </c>
    </row>
    <row r="76" spans="1:15" x14ac:dyDescent="0.25">
      <c r="A76" t="s">
        <v>75</v>
      </c>
      <c r="C76">
        <v>74</v>
      </c>
      <c r="D76">
        <v>-1306</v>
      </c>
      <c r="E76">
        <v>-581</v>
      </c>
      <c r="F76">
        <v>935</v>
      </c>
      <c r="K76">
        <f t="shared" si="5"/>
        <v>74</v>
      </c>
      <c r="L76" s="3">
        <f t="shared" si="6"/>
        <v>2.1374808000000001</v>
      </c>
      <c r="M76" s="3">
        <f t="shared" si="7"/>
        <v>-2.4509504500000001</v>
      </c>
      <c r="N76" s="3">
        <f t="shared" si="8"/>
        <v>7.1309616000000009</v>
      </c>
      <c r="O76">
        <f t="shared" si="9"/>
        <v>37</v>
      </c>
    </row>
    <row r="77" spans="1:15" x14ac:dyDescent="0.25">
      <c r="A77" t="s">
        <v>76</v>
      </c>
      <c r="C77">
        <v>75</v>
      </c>
      <c r="D77">
        <v>-1452</v>
      </c>
      <c r="E77">
        <v>1452</v>
      </c>
      <c r="F77">
        <v>-517</v>
      </c>
      <c r="K77">
        <f t="shared" si="5"/>
        <v>75</v>
      </c>
      <c r="L77" s="3">
        <f t="shared" si="6"/>
        <v>1.2801396</v>
      </c>
      <c r="M77" s="3">
        <f t="shared" si="7"/>
        <v>8.9905702499999993</v>
      </c>
      <c r="N77" s="3">
        <f t="shared" si="8"/>
        <v>-1.7796720000000001</v>
      </c>
      <c r="O77">
        <f t="shared" si="9"/>
        <v>37.5</v>
      </c>
    </row>
    <row r="78" spans="1:15" x14ac:dyDescent="0.25">
      <c r="A78" t="s">
        <v>77</v>
      </c>
      <c r="C78">
        <v>76</v>
      </c>
      <c r="D78">
        <v>145</v>
      </c>
      <c r="E78">
        <v>435</v>
      </c>
      <c r="F78">
        <v>-227</v>
      </c>
      <c r="K78">
        <f t="shared" si="5"/>
        <v>76</v>
      </c>
      <c r="L78" s="3">
        <f t="shared" si="6"/>
        <v>10.658043000000001</v>
      </c>
      <c r="M78" s="3">
        <f t="shared" si="7"/>
        <v>3.2669959500000001</v>
      </c>
      <c r="N78" s="3">
        <f t="shared" si="8"/>
        <v>0</v>
      </c>
      <c r="O78">
        <f t="shared" si="9"/>
        <v>38</v>
      </c>
    </row>
    <row r="79" spans="1:15" x14ac:dyDescent="0.25">
      <c r="A79" t="s">
        <v>78</v>
      </c>
      <c r="C79">
        <v>77</v>
      </c>
      <c r="D79">
        <v>-2178</v>
      </c>
      <c r="E79">
        <v>580</v>
      </c>
      <c r="F79">
        <v>-372</v>
      </c>
      <c r="K79">
        <f t="shared" si="5"/>
        <v>77</v>
      </c>
      <c r="L79" s="3">
        <f t="shared" si="6"/>
        <v>-2.9830776000000001</v>
      </c>
      <c r="M79" s="3">
        <f t="shared" si="7"/>
        <v>4.0830414499999996</v>
      </c>
      <c r="N79" s="3">
        <f t="shared" si="8"/>
        <v>-0.88983600000000007</v>
      </c>
      <c r="O79">
        <f t="shared" si="9"/>
        <v>38.5</v>
      </c>
    </row>
    <row r="80" spans="1:15" x14ac:dyDescent="0.25">
      <c r="A80" t="s">
        <v>79</v>
      </c>
      <c r="C80">
        <v>78</v>
      </c>
      <c r="D80">
        <v>-1597</v>
      </c>
      <c r="E80">
        <v>-726</v>
      </c>
      <c r="F80">
        <v>-517</v>
      </c>
      <c r="K80">
        <f t="shared" si="5"/>
        <v>78</v>
      </c>
      <c r="L80" s="3">
        <f t="shared" si="6"/>
        <v>0.42867060000000001</v>
      </c>
      <c r="M80" s="3">
        <f t="shared" si="7"/>
        <v>-3.2669959500000001</v>
      </c>
      <c r="N80" s="3">
        <f t="shared" si="8"/>
        <v>-1.7796720000000001</v>
      </c>
      <c r="O80">
        <f t="shared" si="9"/>
        <v>39</v>
      </c>
    </row>
    <row r="81" spans="1:15" x14ac:dyDescent="0.25">
      <c r="A81" t="s">
        <v>80</v>
      </c>
      <c r="C81">
        <v>79</v>
      </c>
      <c r="D81">
        <v>-725</v>
      </c>
      <c r="E81">
        <v>290</v>
      </c>
      <c r="F81">
        <v>-372</v>
      </c>
      <c r="K81">
        <f t="shared" si="5"/>
        <v>79</v>
      </c>
      <c r="L81" s="3">
        <f t="shared" si="6"/>
        <v>5.5492290000000004</v>
      </c>
      <c r="M81" s="3">
        <f t="shared" si="7"/>
        <v>2.4509504500000001</v>
      </c>
      <c r="N81" s="3">
        <f t="shared" si="8"/>
        <v>-0.88983600000000007</v>
      </c>
      <c r="O81">
        <f t="shared" si="9"/>
        <v>39.5</v>
      </c>
    </row>
    <row r="82" spans="1:15" x14ac:dyDescent="0.25">
      <c r="A82" t="s">
        <v>81</v>
      </c>
      <c r="C82">
        <v>80</v>
      </c>
      <c r="D82">
        <v>1017</v>
      </c>
      <c r="E82">
        <v>2759</v>
      </c>
      <c r="F82">
        <v>-372</v>
      </c>
      <c r="K82">
        <f t="shared" si="5"/>
        <v>80</v>
      </c>
      <c r="L82" s="3">
        <f t="shared" si="6"/>
        <v>15.778601400000001</v>
      </c>
      <c r="M82" s="3">
        <f t="shared" si="7"/>
        <v>16.346235549999999</v>
      </c>
      <c r="N82" s="3">
        <f t="shared" si="8"/>
        <v>-0.88983600000000007</v>
      </c>
      <c r="O82">
        <f t="shared" si="9"/>
        <v>40</v>
      </c>
    </row>
    <row r="83" spans="1:15" x14ac:dyDescent="0.25">
      <c r="A83" t="s">
        <v>82</v>
      </c>
      <c r="C83">
        <v>81</v>
      </c>
      <c r="D83">
        <v>-4792</v>
      </c>
      <c r="E83">
        <v>-2033</v>
      </c>
      <c r="F83">
        <v>-82</v>
      </c>
      <c r="K83">
        <f t="shared" si="5"/>
        <v>81</v>
      </c>
      <c r="L83" s="3">
        <f t="shared" si="6"/>
        <v>-18.333008400000001</v>
      </c>
      <c r="M83" s="3">
        <f t="shared" si="7"/>
        <v>-10.62266125</v>
      </c>
      <c r="N83" s="3">
        <f t="shared" si="8"/>
        <v>0.88983600000000007</v>
      </c>
      <c r="O83">
        <f t="shared" si="9"/>
        <v>40.5</v>
      </c>
    </row>
    <row r="84" spans="1:15" x14ac:dyDescent="0.25">
      <c r="A84" t="s">
        <v>83</v>
      </c>
      <c r="C84">
        <v>82</v>
      </c>
      <c r="D84">
        <v>-144</v>
      </c>
      <c r="E84">
        <v>-2759</v>
      </c>
      <c r="F84">
        <v>-517</v>
      </c>
      <c r="K84">
        <f t="shared" si="5"/>
        <v>82</v>
      </c>
      <c r="L84" s="3">
        <f t="shared" si="6"/>
        <v>8.9609772000000003</v>
      </c>
      <c r="M84" s="3">
        <f t="shared" si="7"/>
        <v>-14.70851665</v>
      </c>
      <c r="N84" s="3">
        <f t="shared" si="8"/>
        <v>-1.7796720000000001</v>
      </c>
      <c r="O84">
        <f t="shared" si="9"/>
        <v>41</v>
      </c>
    </row>
    <row r="85" spans="1:15" x14ac:dyDescent="0.25">
      <c r="A85" t="s">
        <v>84</v>
      </c>
      <c r="C85">
        <v>83</v>
      </c>
      <c r="D85">
        <v>-3049</v>
      </c>
      <c r="E85">
        <v>2469</v>
      </c>
      <c r="F85">
        <v>-808</v>
      </c>
      <c r="K85">
        <f t="shared" si="5"/>
        <v>83</v>
      </c>
      <c r="L85" s="3">
        <f t="shared" si="6"/>
        <v>-8.097763800000001</v>
      </c>
      <c r="M85" s="3">
        <f t="shared" si="7"/>
        <v>14.71414455</v>
      </c>
      <c r="N85" s="3">
        <f t="shared" si="8"/>
        <v>-3.5654808000000004</v>
      </c>
      <c r="O85">
        <f t="shared" si="9"/>
        <v>41.5</v>
      </c>
    </row>
    <row r="86" spans="1:15" x14ac:dyDescent="0.25">
      <c r="A86" t="s">
        <v>85</v>
      </c>
      <c r="C86">
        <v>84</v>
      </c>
      <c r="D86">
        <v>-2904</v>
      </c>
      <c r="E86">
        <v>-4793</v>
      </c>
      <c r="F86">
        <v>499</v>
      </c>
      <c r="K86">
        <f t="shared" si="5"/>
        <v>84</v>
      </c>
      <c r="L86" s="3">
        <f t="shared" si="6"/>
        <v>-7.2462948000000003</v>
      </c>
      <c r="M86" s="3">
        <f t="shared" si="7"/>
        <v>-26.155665249999998</v>
      </c>
      <c r="N86" s="3">
        <f t="shared" si="8"/>
        <v>4.4553168000000003</v>
      </c>
      <c r="O86">
        <f t="shared" si="9"/>
        <v>42</v>
      </c>
    </row>
    <row r="87" spans="1:15" x14ac:dyDescent="0.25">
      <c r="A87" t="s">
        <v>86</v>
      </c>
      <c r="C87">
        <v>85</v>
      </c>
      <c r="D87">
        <v>581</v>
      </c>
      <c r="E87">
        <v>871</v>
      </c>
      <c r="F87">
        <v>-227</v>
      </c>
      <c r="K87">
        <f t="shared" si="5"/>
        <v>85</v>
      </c>
      <c r="L87" s="3">
        <f t="shared" si="6"/>
        <v>13.218322200000001</v>
      </c>
      <c r="M87" s="3">
        <f t="shared" si="7"/>
        <v>5.7207603499999999</v>
      </c>
      <c r="N87" s="3">
        <f t="shared" si="8"/>
        <v>0</v>
      </c>
      <c r="O87">
        <f t="shared" si="9"/>
        <v>42.5</v>
      </c>
    </row>
    <row r="88" spans="1:15" x14ac:dyDescent="0.25">
      <c r="A88" t="s">
        <v>87</v>
      </c>
      <c r="C88">
        <v>86</v>
      </c>
      <c r="D88">
        <v>-2323</v>
      </c>
      <c r="E88">
        <v>-2033</v>
      </c>
      <c r="F88">
        <v>64</v>
      </c>
      <c r="K88">
        <f t="shared" si="5"/>
        <v>86</v>
      </c>
      <c r="L88" s="3">
        <f t="shared" si="6"/>
        <v>-3.8345465999999999</v>
      </c>
      <c r="M88" s="3">
        <f t="shared" si="7"/>
        <v>-10.62266125</v>
      </c>
      <c r="N88" s="3">
        <f t="shared" si="8"/>
        <v>1.7858088000000001</v>
      </c>
      <c r="O88">
        <f t="shared" si="9"/>
        <v>43</v>
      </c>
    </row>
    <row r="89" spans="1:15" x14ac:dyDescent="0.25">
      <c r="A89" t="s">
        <v>88</v>
      </c>
      <c r="C89">
        <v>87</v>
      </c>
      <c r="D89">
        <v>-435</v>
      </c>
      <c r="E89">
        <v>2033</v>
      </c>
      <c r="F89">
        <v>645</v>
      </c>
      <c r="K89">
        <f t="shared" si="5"/>
        <v>87</v>
      </c>
      <c r="L89" s="3">
        <f t="shared" si="6"/>
        <v>7.252167</v>
      </c>
      <c r="M89" s="3">
        <f t="shared" si="7"/>
        <v>12.26038015</v>
      </c>
      <c r="N89" s="3">
        <f t="shared" si="8"/>
        <v>5.3512896000000003</v>
      </c>
      <c r="O89">
        <f t="shared" si="9"/>
        <v>43.5</v>
      </c>
    </row>
    <row r="90" spans="1:15" x14ac:dyDescent="0.25">
      <c r="A90" t="s">
        <v>89</v>
      </c>
      <c r="C90">
        <v>88</v>
      </c>
      <c r="D90">
        <v>-2614</v>
      </c>
      <c r="E90">
        <v>0</v>
      </c>
      <c r="F90">
        <v>354</v>
      </c>
      <c r="K90">
        <f t="shared" si="5"/>
        <v>88</v>
      </c>
      <c r="L90" s="3">
        <f t="shared" si="6"/>
        <v>-5.5433567999999998</v>
      </c>
      <c r="M90" s="3">
        <f t="shared" si="7"/>
        <v>0.81885944999999993</v>
      </c>
      <c r="N90" s="3">
        <f t="shared" si="8"/>
        <v>3.5654808000000004</v>
      </c>
      <c r="O90">
        <f t="shared" si="9"/>
        <v>44</v>
      </c>
    </row>
    <row r="91" spans="1:15" x14ac:dyDescent="0.25">
      <c r="A91" t="s">
        <v>90</v>
      </c>
      <c r="C91">
        <v>89</v>
      </c>
      <c r="D91">
        <v>-1887</v>
      </c>
      <c r="E91">
        <v>-3340</v>
      </c>
      <c r="F91">
        <v>209</v>
      </c>
      <c r="K91">
        <f t="shared" si="5"/>
        <v>89</v>
      </c>
      <c r="L91" s="3">
        <f t="shared" si="6"/>
        <v>-1.2742674000000001</v>
      </c>
      <c r="M91" s="3">
        <f t="shared" si="7"/>
        <v>-17.978326549999998</v>
      </c>
      <c r="N91" s="3">
        <f t="shared" si="8"/>
        <v>2.6756448000000002</v>
      </c>
      <c r="O91">
        <f t="shared" si="9"/>
        <v>44.5</v>
      </c>
    </row>
    <row r="92" spans="1:15" x14ac:dyDescent="0.25">
      <c r="A92" t="s">
        <v>91</v>
      </c>
      <c r="C92">
        <v>90</v>
      </c>
      <c r="D92">
        <v>1307</v>
      </c>
      <c r="E92">
        <v>2759</v>
      </c>
      <c r="F92">
        <v>209</v>
      </c>
      <c r="K92">
        <f t="shared" si="5"/>
        <v>90</v>
      </c>
      <c r="L92" s="3">
        <f t="shared" si="6"/>
        <v>17.481539399999999</v>
      </c>
      <c r="M92" s="3">
        <f t="shared" si="7"/>
        <v>16.346235549999999</v>
      </c>
      <c r="N92" s="3">
        <f t="shared" si="8"/>
        <v>2.6756448000000002</v>
      </c>
      <c r="O92">
        <f t="shared" si="9"/>
        <v>45</v>
      </c>
    </row>
    <row r="93" spans="1:15" x14ac:dyDescent="0.25">
      <c r="A93" t="s">
        <v>92</v>
      </c>
      <c r="C93">
        <v>91</v>
      </c>
      <c r="D93">
        <v>-3340</v>
      </c>
      <c r="E93">
        <v>1307</v>
      </c>
      <c r="F93">
        <v>1080</v>
      </c>
      <c r="K93">
        <f t="shared" si="5"/>
        <v>91</v>
      </c>
      <c r="L93" s="3">
        <f t="shared" si="6"/>
        <v>-9.8065739999999995</v>
      </c>
      <c r="M93" s="3">
        <f t="shared" si="7"/>
        <v>8.1745247499999998</v>
      </c>
      <c r="N93" s="3">
        <f t="shared" si="8"/>
        <v>8.0207975999999999</v>
      </c>
      <c r="O93">
        <f t="shared" si="9"/>
        <v>45.5</v>
      </c>
    </row>
    <row r="94" spans="1:15" x14ac:dyDescent="0.25">
      <c r="A94" t="s">
        <v>93</v>
      </c>
      <c r="C94">
        <v>92</v>
      </c>
      <c r="D94">
        <v>726</v>
      </c>
      <c r="E94">
        <v>1452</v>
      </c>
      <c r="F94">
        <v>790</v>
      </c>
      <c r="K94">
        <f t="shared" si="5"/>
        <v>92</v>
      </c>
      <c r="L94" s="3">
        <f t="shared" si="6"/>
        <v>14.069791200000001</v>
      </c>
      <c r="M94" s="3">
        <f t="shared" si="7"/>
        <v>8.9905702499999993</v>
      </c>
      <c r="N94" s="3">
        <f t="shared" si="8"/>
        <v>6.2411256000000002</v>
      </c>
      <c r="O94">
        <f t="shared" si="9"/>
        <v>46</v>
      </c>
    </row>
    <row r="95" spans="1:15" x14ac:dyDescent="0.25">
      <c r="A95" t="s">
        <v>94</v>
      </c>
      <c r="C95">
        <v>93</v>
      </c>
      <c r="D95">
        <v>-1306</v>
      </c>
      <c r="E95">
        <v>1452</v>
      </c>
      <c r="F95">
        <v>-953</v>
      </c>
      <c r="K95">
        <f t="shared" si="5"/>
        <v>93</v>
      </c>
      <c r="L95" s="3">
        <f t="shared" si="6"/>
        <v>2.1374808000000001</v>
      </c>
      <c r="M95" s="3">
        <f t="shared" si="7"/>
        <v>8.9905702499999993</v>
      </c>
      <c r="N95" s="3">
        <f t="shared" si="8"/>
        <v>-4.4553168000000003</v>
      </c>
      <c r="O95">
        <f t="shared" si="9"/>
        <v>46.5</v>
      </c>
    </row>
    <row r="96" spans="1:15" x14ac:dyDescent="0.25">
      <c r="A96" t="s">
        <v>95</v>
      </c>
      <c r="C96">
        <v>94</v>
      </c>
      <c r="D96">
        <v>-1452</v>
      </c>
      <c r="E96">
        <v>1597</v>
      </c>
      <c r="F96">
        <v>-953</v>
      </c>
      <c r="K96">
        <f t="shared" si="5"/>
        <v>94</v>
      </c>
      <c r="L96" s="3">
        <f t="shared" si="6"/>
        <v>1.2801396</v>
      </c>
      <c r="M96" s="3">
        <f t="shared" si="7"/>
        <v>9.8066157500000006</v>
      </c>
      <c r="N96" s="3">
        <f t="shared" si="8"/>
        <v>-4.4553168000000003</v>
      </c>
      <c r="O96">
        <f t="shared" si="9"/>
        <v>47</v>
      </c>
    </row>
    <row r="97" spans="1:15" x14ac:dyDescent="0.25">
      <c r="A97" t="s">
        <v>96</v>
      </c>
      <c r="C97">
        <v>95</v>
      </c>
      <c r="D97">
        <v>-3630</v>
      </c>
      <c r="E97">
        <v>-2033</v>
      </c>
      <c r="F97">
        <v>64</v>
      </c>
      <c r="K97">
        <f t="shared" si="5"/>
        <v>95</v>
      </c>
      <c r="L97" s="3">
        <f t="shared" si="6"/>
        <v>-11.509512000000001</v>
      </c>
      <c r="M97" s="3">
        <f t="shared" si="7"/>
        <v>-10.62266125</v>
      </c>
      <c r="N97" s="3">
        <f t="shared" si="8"/>
        <v>1.7858088000000001</v>
      </c>
      <c r="O97">
        <f t="shared" si="9"/>
        <v>47.5</v>
      </c>
    </row>
    <row r="98" spans="1:15" x14ac:dyDescent="0.25">
      <c r="A98" t="s">
        <v>97</v>
      </c>
      <c r="C98">
        <v>96</v>
      </c>
      <c r="D98">
        <v>-2468</v>
      </c>
      <c r="E98">
        <v>-4793</v>
      </c>
      <c r="F98">
        <v>1952</v>
      </c>
      <c r="K98">
        <f t="shared" si="5"/>
        <v>96</v>
      </c>
      <c r="L98" s="3">
        <f t="shared" si="6"/>
        <v>-4.6860156000000002</v>
      </c>
      <c r="M98" s="3">
        <f t="shared" si="7"/>
        <v>-26.155665249999998</v>
      </c>
      <c r="N98" s="3">
        <f t="shared" si="8"/>
        <v>13.372087200000001</v>
      </c>
      <c r="O98">
        <f t="shared" si="9"/>
        <v>48</v>
      </c>
    </row>
    <row r="99" spans="1:15" x14ac:dyDescent="0.25">
      <c r="A99" t="s">
        <v>98</v>
      </c>
      <c r="C99">
        <v>97</v>
      </c>
      <c r="D99">
        <v>290</v>
      </c>
      <c r="E99">
        <v>-2033</v>
      </c>
      <c r="F99">
        <v>-372</v>
      </c>
      <c r="K99">
        <f t="shared" si="5"/>
        <v>97</v>
      </c>
      <c r="L99" s="3">
        <f t="shared" si="6"/>
        <v>11.509512000000001</v>
      </c>
      <c r="M99" s="3">
        <f t="shared" si="7"/>
        <v>-10.62266125</v>
      </c>
      <c r="N99" s="3">
        <f t="shared" si="8"/>
        <v>-0.88983600000000007</v>
      </c>
      <c r="O99">
        <f t="shared" si="9"/>
        <v>48.5</v>
      </c>
    </row>
    <row r="100" spans="1:15" x14ac:dyDescent="0.25">
      <c r="A100" t="s">
        <v>99</v>
      </c>
      <c r="C100">
        <v>98</v>
      </c>
      <c r="D100">
        <v>145</v>
      </c>
      <c r="E100">
        <v>1452</v>
      </c>
      <c r="F100">
        <v>354</v>
      </c>
      <c r="K100">
        <f t="shared" si="5"/>
        <v>98</v>
      </c>
      <c r="L100" s="3">
        <f t="shared" si="6"/>
        <v>10.658043000000001</v>
      </c>
      <c r="M100" s="3">
        <f t="shared" si="7"/>
        <v>8.9905702499999993</v>
      </c>
      <c r="N100" s="3">
        <f t="shared" si="8"/>
        <v>3.5654808000000004</v>
      </c>
      <c r="O100">
        <f t="shared" si="9"/>
        <v>49</v>
      </c>
    </row>
    <row r="101" spans="1:15" x14ac:dyDescent="0.25">
      <c r="A101" t="s">
        <v>100</v>
      </c>
      <c r="C101">
        <v>99</v>
      </c>
      <c r="D101">
        <v>1452</v>
      </c>
      <c r="E101">
        <v>5519</v>
      </c>
      <c r="F101">
        <v>499</v>
      </c>
      <c r="K101">
        <f t="shared" si="5"/>
        <v>99</v>
      </c>
      <c r="L101" s="3">
        <f t="shared" si="6"/>
        <v>18.333008400000001</v>
      </c>
      <c r="M101" s="3">
        <f t="shared" si="7"/>
        <v>31.879239550000001</v>
      </c>
      <c r="N101" s="3">
        <f t="shared" si="8"/>
        <v>4.4553168000000003</v>
      </c>
      <c r="O101">
        <f t="shared" si="9"/>
        <v>49.5</v>
      </c>
    </row>
    <row r="102" spans="1:15" x14ac:dyDescent="0.25">
      <c r="A102" t="s">
        <v>101</v>
      </c>
      <c r="C102">
        <v>100</v>
      </c>
      <c r="D102">
        <v>-1742</v>
      </c>
      <c r="E102">
        <v>2033</v>
      </c>
      <c r="F102">
        <v>64</v>
      </c>
      <c r="K102">
        <f t="shared" si="5"/>
        <v>100</v>
      </c>
      <c r="L102" s="3">
        <f t="shared" si="6"/>
        <v>-0.42279840000000002</v>
      </c>
      <c r="M102" s="3">
        <f t="shared" si="7"/>
        <v>12.26038015</v>
      </c>
      <c r="N102" s="3">
        <f t="shared" si="8"/>
        <v>1.7858088000000001</v>
      </c>
      <c r="O102">
        <f t="shared" si="9"/>
        <v>50</v>
      </c>
    </row>
    <row r="103" spans="1:15" x14ac:dyDescent="0.25">
      <c r="A103" t="s">
        <v>102</v>
      </c>
      <c r="C103">
        <v>101</v>
      </c>
      <c r="D103">
        <v>-2759</v>
      </c>
      <c r="E103">
        <v>1307</v>
      </c>
      <c r="F103">
        <v>499</v>
      </c>
      <c r="K103">
        <f t="shared" si="5"/>
        <v>101</v>
      </c>
      <c r="L103" s="3">
        <f t="shared" si="6"/>
        <v>-6.3948258000000004</v>
      </c>
      <c r="M103" s="3">
        <f t="shared" si="7"/>
        <v>8.1745247499999998</v>
      </c>
      <c r="N103" s="3">
        <f t="shared" si="8"/>
        <v>4.4553168000000003</v>
      </c>
      <c r="O103">
        <f t="shared" si="9"/>
        <v>50.5</v>
      </c>
    </row>
    <row r="104" spans="1:15" x14ac:dyDescent="0.25">
      <c r="A104" t="s">
        <v>103</v>
      </c>
      <c r="C104">
        <v>102</v>
      </c>
      <c r="D104">
        <v>-2759</v>
      </c>
      <c r="E104">
        <v>1307</v>
      </c>
      <c r="F104">
        <v>-663</v>
      </c>
      <c r="K104">
        <f t="shared" si="5"/>
        <v>102</v>
      </c>
      <c r="L104" s="3">
        <f t="shared" si="6"/>
        <v>-6.3948258000000004</v>
      </c>
      <c r="M104" s="3">
        <f t="shared" si="7"/>
        <v>8.1745247499999998</v>
      </c>
      <c r="N104" s="3">
        <f t="shared" si="8"/>
        <v>-2.6756448000000002</v>
      </c>
      <c r="O104">
        <f t="shared" si="9"/>
        <v>51</v>
      </c>
    </row>
    <row r="105" spans="1:15" x14ac:dyDescent="0.25">
      <c r="A105" t="s">
        <v>104</v>
      </c>
      <c r="C105">
        <v>103</v>
      </c>
      <c r="D105">
        <v>-2178</v>
      </c>
      <c r="E105">
        <v>1597</v>
      </c>
      <c r="F105">
        <v>-372</v>
      </c>
      <c r="K105">
        <f t="shared" si="5"/>
        <v>103</v>
      </c>
      <c r="L105" s="3">
        <f t="shared" si="6"/>
        <v>-2.9830776000000001</v>
      </c>
      <c r="M105" s="3">
        <f t="shared" si="7"/>
        <v>9.8066157500000006</v>
      </c>
      <c r="N105" s="3">
        <f t="shared" si="8"/>
        <v>-0.88983600000000007</v>
      </c>
      <c r="O105">
        <f t="shared" si="9"/>
        <v>51.5</v>
      </c>
    </row>
    <row r="106" spans="1:15" x14ac:dyDescent="0.25">
      <c r="A106" t="s">
        <v>105</v>
      </c>
      <c r="C106">
        <v>104</v>
      </c>
      <c r="D106">
        <v>-144</v>
      </c>
      <c r="E106">
        <v>871</v>
      </c>
      <c r="F106">
        <v>-808</v>
      </c>
      <c r="K106">
        <f t="shared" si="5"/>
        <v>104</v>
      </c>
      <c r="L106" s="3">
        <f t="shared" si="6"/>
        <v>8.9609772000000003</v>
      </c>
      <c r="M106" s="3">
        <f t="shared" si="7"/>
        <v>5.7207603499999999</v>
      </c>
      <c r="N106" s="3">
        <f t="shared" si="8"/>
        <v>-3.5654808000000004</v>
      </c>
      <c r="O106">
        <f t="shared" si="9"/>
        <v>52</v>
      </c>
    </row>
    <row r="107" spans="1:15" x14ac:dyDescent="0.25">
      <c r="A107" t="s">
        <v>106</v>
      </c>
      <c r="C107">
        <v>105</v>
      </c>
      <c r="D107">
        <v>1452</v>
      </c>
      <c r="E107">
        <v>1597</v>
      </c>
      <c r="F107">
        <v>-82</v>
      </c>
      <c r="K107">
        <f t="shared" si="5"/>
        <v>105</v>
      </c>
      <c r="L107" s="3">
        <f t="shared" si="6"/>
        <v>18.333008400000001</v>
      </c>
      <c r="M107" s="3">
        <f t="shared" si="7"/>
        <v>9.8066157500000006</v>
      </c>
      <c r="N107" s="3">
        <f t="shared" si="8"/>
        <v>0.88983600000000007</v>
      </c>
      <c r="O107">
        <f t="shared" si="9"/>
        <v>52.5</v>
      </c>
    </row>
    <row r="108" spans="1:15" x14ac:dyDescent="0.25">
      <c r="A108" t="s">
        <v>107</v>
      </c>
      <c r="C108">
        <v>106</v>
      </c>
      <c r="D108">
        <v>1598</v>
      </c>
      <c r="E108">
        <v>2614</v>
      </c>
      <c r="F108">
        <v>499</v>
      </c>
      <c r="K108">
        <f t="shared" si="5"/>
        <v>106</v>
      </c>
      <c r="L108" s="3">
        <f t="shared" si="6"/>
        <v>19.190349600000001</v>
      </c>
      <c r="M108" s="3">
        <f t="shared" si="7"/>
        <v>15.53019005</v>
      </c>
      <c r="N108" s="3">
        <f t="shared" si="8"/>
        <v>4.4553168000000003</v>
      </c>
      <c r="O108">
        <f t="shared" si="9"/>
        <v>53</v>
      </c>
    </row>
    <row r="109" spans="1:15" x14ac:dyDescent="0.25">
      <c r="A109" t="s">
        <v>108</v>
      </c>
      <c r="C109">
        <v>107</v>
      </c>
      <c r="D109">
        <v>726</v>
      </c>
      <c r="E109">
        <v>1452</v>
      </c>
      <c r="F109">
        <v>-227</v>
      </c>
      <c r="K109">
        <f t="shared" si="5"/>
        <v>107</v>
      </c>
      <c r="L109" s="3">
        <f t="shared" si="6"/>
        <v>14.069791200000001</v>
      </c>
      <c r="M109" s="3">
        <f t="shared" si="7"/>
        <v>8.9905702499999993</v>
      </c>
      <c r="N109" s="3">
        <f t="shared" si="8"/>
        <v>0</v>
      </c>
      <c r="O109">
        <f t="shared" si="9"/>
        <v>53.5</v>
      </c>
    </row>
    <row r="110" spans="1:15" x14ac:dyDescent="0.25">
      <c r="A110" t="s">
        <v>109</v>
      </c>
      <c r="C110">
        <v>108</v>
      </c>
      <c r="D110">
        <v>1017</v>
      </c>
      <c r="E110">
        <v>1888</v>
      </c>
      <c r="F110">
        <v>-372</v>
      </c>
      <c r="K110">
        <f t="shared" si="5"/>
        <v>108</v>
      </c>
      <c r="L110" s="3">
        <f t="shared" si="6"/>
        <v>15.778601400000001</v>
      </c>
      <c r="M110" s="3">
        <f t="shared" si="7"/>
        <v>11.44433465</v>
      </c>
      <c r="N110" s="3">
        <f t="shared" si="8"/>
        <v>-0.88983600000000007</v>
      </c>
      <c r="O110">
        <f t="shared" si="9"/>
        <v>54</v>
      </c>
    </row>
    <row r="111" spans="1:15" x14ac:dyDescent="0.25">
      <c r="A111" t="s">
        <v>110</v>
      </c>
      <c r="C111">
        <v>109</v>
      </c>
      <c r="D111">
        <v>871</v>
      </c>
      <c r="E111">
        <v>1742</v>
      </c>
      <c r="F111">
        <v>-372</v>
      </c>
      <c r="K111">
        <f t="shared" si="5"/>
        <v>109</v>
      </c>
      <c r="L111" s="3">
        <f t="shared" si="6"/>
        <v>14.921260200000001</v>
      </c>
      <c r="M111" s="3">
        <f t="shared" si="7"/>
        <v>10.62266125</v>
      </c>
      <c r="N111" s="3">
        <f t="shared" si="8"/>
        <v>-0.88983600000000007</v>
      </c>
      <c r="O111">
        <f t="shared" si="9"/>
        <v>54.5</v>
      </c>
    </row>
    <row r="112" spans="1:15" x14ac:dyDescent="0.25">
      <c r="A112" t="s">
        <v>111</v>
      </c>
      <c r="C112">
        <v>110</v>
      </c>
      <c r="D112">
        <v>-435</v>
      </c>
      <c r="E112">
        <v>726</v>
      </c>
      <c r="F112">
        <v>499</v>
      </c>
      <c r="K112">
        <f t="shared" si="5"/>
        <v>110</v>
      </c>
      <c r="L112" s="3">
        <f t="shared" si="6"/>
        <v>7.252167</v>
      </c>
      <c r="M112" s="3">
        <f t="shared" si="7"/>
        <v>4.9047148499999995</v>
      </c>
      <c r="N112" s="3">
        <f t="shared" si="8"/>
        <v>4.4553168000000003</v>
      </c>
      <c r="O112">
        <f t="shared" si="9"/>
        <v>55</v>
      </c>
    </row>
    <row r="113" spans="1:15" x14ac:dyDescent="0.25">
      <c r="A113" t="s">
        <v>112</v>
      </c>
      <c r="C113">
        <v>111</v>
      </c>
      <c r="D113">
        <v>-1597</v>
      </c>
      <c r="E113">
        <v>1016</v>
      </c>
      <c r="F113">
        <v>209</v>
      </c>
      <c r="K113">
        <f t="shared" si="5"/>
        <v>111</v>
      </c>
      <c r="L113" s="3">
        <f t="shared" si="6"/>
        <v>0.42867060000000001</v>
      </c>
      <c r="M113" s="3">
        <f t="shared" si="7"/>
        <v>6.5368058499999995</v>
      </c>
      <c r="N113" s="3">
        <f t="shared" si="8"/>
        <v>2.6756448000000002</v>
      </c>
      <c r="O113">
        <f t="shared" si="9"/>
        <v>55.5</v>
      </c>
    </row>
    <row r="114" spans="1:15" x14ac:dyDescent="0.25">
      <c r="A114" t="s">
        <v>113</v>
      </c>
      <c r="C114">
        <v>112</v>
      </c>
      <c r="D114">
        <v>-3195</v>
      </c>
      <c r="E114">
        <v>-3631</v>
      </c>
      <c r="F114">
        <v>-82</v>
      </c>
      <c r="K114">
        <f t="shared" si="5"/>
        <v>112</v>
      </c>
      <c r="L114" s="3">
        <f t="shared" si="6"/>
        <v>-8.9551049999999996</v>
      </c>
      <c r="M114" s="3">
        <f t="shared" si="7"/>
        <v>-19.616045450000001</v>
      </c>
      <c r="N114" s="3">
        <f t="shared" si="8"/>
        <v>0.88983600000000007</v>
      </c>
      <c r="O114">
        <f t="shared" si="9"/>
        <v>56</v>
      </c>
    </row>
    <row r="115" spans="1:15" x14ac:dyDescent="0.25">
      <c r="A115" t="s">
        <v>114</v>
      </c>
      <c r="C115">
        <v>113</v>
      </c>
      <c r="D115">
        <v>-2614</v>
      </c>
      <c r="E115">
        <v>-3485</v>
      </c>
      <c r="F115">
        <v>64</v>
      </c>
      <c r="K115">
        <f t="shared" si="5"/>
        <v>113</v>
      </c>
      <c r="L115" s="3">
        <f t="shared" si="6"/>
        <v>-5.5433567999999998</v>
      </c>
      <c r="M115" s="3">
        <f t="shared" si="7"/>
        <v>-18.79437205</v>
      </c>
      <c r="N115" s="3">
        <f t="shared" si="8"/>
        <v>1.7858088000000001</v>
      </c>
      <c r="O115">
        <f t="shared" si="9"/>
        <v>56.5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ACEXYZ - Rueda Trasera Derecha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2013-10-13T02:19:00Z</dcterms:created>
  <dcterms:modified xsi:type="dcterms:W3CDTF">2013-10-13T03:04:00Z</dcterms:modified>
</cp:coreProperties>
</file>